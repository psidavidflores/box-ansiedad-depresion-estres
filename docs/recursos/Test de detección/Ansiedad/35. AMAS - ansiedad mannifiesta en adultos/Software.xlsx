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2795" windowHeight="8160"/>
  </bookViews>
  <sheets>
    <sheet name="DATOS Y RESPUESTAS" sheetId="1" r:id="rId1"/>
    <sheet name="RESULTADOS" sheetId="9" r:id="rId2"/>
    <sheet name="FORMA C" sheetId="6" r:id="rId3"/>
    <sheet name="FORMAS A-E" sheetId="7" r:id="rId4"/>
    <sheet name="RR" sheetId="2" state="hidden" r:id="rId5"/>
    <sheet name="REPORTE" sheetId="8" state="hidden" r:id="rId6"/>
  </sheets>
  <calcPr calcId="145621"/>
</workbook>
</file>

<file path=xl/calcChain.xml><?xml version="1.0" encoding="utf-8"?>
<calcChain xmlns="http://schemas.openxmlformats.org/spreadsheetml/2006/main">
  <c r="C34" i="9" l="1"/>
  <c r="C35" i="9"/>
  <c r="C33" i="9"/>
  <c r="I30" i="9"/>
  <c r="F22" i="9"/>
  <c r="G22" i="9"/>
  <c r="H22" i="9"/>
  <c r="I22" i="9"/>
  <c r="F23" i="9"/>
  <c r="G23" i="9"/>
  <c r="H23" i="9"/>
  <c r="I23" i="9"/>
  <c r="F25" i="9"/>
  <c r="G25" i="9"/>
  <c r="H25" i="9"/>
  <c r="I25" i="9"/>
  <c r="F28" i="9"/>
  <c r="G28" i="9"/>
  <c r="H28" i="9"/>
  <c r="I28" i="9"/>
  <c r="G21" i="9"/>
  <c r="H21" i="9"/>
  <c r="I21" i="9"/>
  <c r="F21" i="9"/>
  <c r="C13" i="9"/>
  <c r="C14" i="9"/>
  <c r="C15" i="9"/>
  <c r="C16" i="9"/>
  <c r="C17" i="9"/>
  <c r="C18" i="9"/>
  <c r="C12" i="9"/>
  <c r="A5" i="2"/>
  <c r="B5" i="2"/>
  <c r="C5" i="2"/>
  <c r="E5" i="2"/>
  <c r="C11" i="2"/>
  <c r="C15" i="2"/>
  <c r="C17" i="2"/>
  <c r="C19" i="2"/>
  <c r="C23" i="2"/>
  <c r="C26" i="2"/>
  <c r="C28" i="2"/>
  <c r="C30" i="2"/>
  <c r="C32" i="2"/>
  <c r="C35" i="2"/>
  <c r="C39" i="2"/>
  <c r="C41" i="2"/>
  <c r="C43" i="2"/>
  <c r="C46" i="2"/>
  <c r="C12" i="2"/>
  <c r="C16" i="2"/>
  <c r="C20" i="2"/>
  <c r="C24" i="2"/>
  <c r="C27" i="2"/>
  <c r="C31" i="2"/>
  <c r="C36" i="2"/>
  <c r="C40" i="2"/>
  <c r="C44" i="2"/>
  <c r="C13" i="2"/>
  <c r="C21" i="2"/>
  <c r="C25" i="2"/>
  <c r="C29" i="2"/>
  <c r="C33" i="2"/>
  <c r="C37" i="2"/>
  <c r="C45" i="2"/>
  <c r="S19" i="2"/>
  <c r="L19" i="2" s="1"/>
  <c r="E18" i="8" s="1"/>
  <c r="U19" i="2"/>
  <c r="N19" i="2" s="1"/>
  <c r="G18" i="8" s="1"/>
  <c r="G21" i="8"/>
  <c r="H21" i="8"/>
  <c r="C14" i="2"/>
  <c r="C18" i="2"/>
  <c r="C22" i="2"/>
  <c r="C34" i="2"/>
  <c r="C38" i="2"/>
  <c r="C42" i="2"/>
  <c r="G14" i="8"/>
  <c r="C14" i="8"/>
  <c r="B5" i="8"/>
  <c r="B6" i="8"/>
  <c r="B7" i="8"/>
  <c r="B8" i="8"/>
  <c r="B9" i="8"/>
  <c r="B10" i="8"/>
  <c r="B12" i="8"/>
  <c r="B4" i="8"/>
  <c r="A5" i="8"/>
  <c r="A6" i="8"/>
  <c r="A7" i="8"/>
  <c r="A8" i="8"/>
  <c r="A9" i="8"/>
  <c r="A10" i="8"/>
  <c r="A12" i="8"/>
  <c r="A4" i="8"/>
  <c r="Z15" i="2"/>
  <c r="C47" i="2"/>
  <c r="C48" i="2"/>
  <c r="C49" i="2"/>
  <c r="C52" i="2"/>
  <c r="C54" i="2"/>
  <c r="C50" i="2"/>
  <c r="C51" i="2"/>
  <c r="C53" i="2"/>
  <c r="Z37" i="2" s="1"/>
  <c r="X43" i="2"/>
  <c r="L22" i="2"/>
  <c r="K22" i="2"/>
  <c r="C56" i="2"/>
  <c r="C59" i="2"/>
  <c r="C55" i="2"/>
  <c r="C57" i="2"/>
  <c r="X36" i="2"/>
  <c r="C58" i="2"/>
  <c r="Z36" i="2" s="1"/>
  <c r="X46" i="2"/>
  <c r="P17" i="2"/>
  <c r="I17" i="2" s="1"/>
  <c r="I23" i="2"/>
  <c r="C22" i="8" s="1"/>
  <c r="I20" i="2"/>
  <c r="C19" i="8" s="1"/>
  <c r="P16" i="2"/>
  <c r="I16" i="2"/>
  <c r="C15" i="8" s="1"/>
  <c r="L15" i="2"/>
  <c r="K15" i="2"/>
  <c r="X20" i="2"/>
  <c r="W18" i="2"/>
  <c r="Z18" i="2"/>
  <c r="W17" i="2"/>
  <c r="Z17" i="2" s="1"/>
  <c r="W16" i="2"/>
  <c r="Z16" i="2" s="1"/>
  <c r="AA15" i="2"/>
  <c r="X35" i="2" l="1"/>
  <c r="R18" i="2" s="1"/>
  <c r="K18" i="2" s="1"/>
  <c r="D17" i="8" s="1"/>
  <c r="V35" i="2"/>
  <c r="W35" i="2"/>
  <c r="AA35" i="2" s="1"/>
  <c r="R20" i="2" s="1"/>
  <c r="K20" i="2" s="1"/>
  <c r="D19" i="8" s="1"/>
  <c r="V41" i="2"/>
  <c r="S16" i="2" s="1"/>
  <c r="R16" i="2"/>
  <c r="K16" i="2" s="1"/>
  <c r="V45" i="2"/>
  <c r="T16" i="2" s="1"/>
  <c r="Y36" i="2"/>
  <c r="V36" i="2"/>
  <c r="V37" i="2"/>
  <c r="V43" i="2" s="1"/>
  <c r="W37" i="2"/>
  <c r="T19" i="2"/>
  <c r="M19" i="2" s="1"/>
  <c r="F18" i="8" s="1"/>
  <c r="R19" i="2"/>
  <c r="K19" i="2" s="1"/>
  <c r="P19" i="2"/>
  <c r="P18" i="2"/>
  <c r="V47" i="2"/>
  <c r="V46" i="2"/>
  <c r="V42" i="2"/>
  <c r="Z35" i="2"/>
  <c r="Z45" i="2" s="1"/>
  <c r="T23" i="2" s="1"/>
  <c r="M23" i="2" s="1"/>
  <c r="F22" i="8" s="1"/>
  <c r="W41" i="2"/>
  <c r="S17" i="2" s="1"/>
  <c r="L17" i="2" s="1"/>
  <c r="E16" i="8" s="1"/>
  <c r="W36" i="2"/>
  <c r="X37" i="2"/>
  <c r="X47" i="2" s="1"/>
  <c r="X41" i="2"/>
  <c r="S18" i="2" s="1"/>
  <c r="Z42" i="2"/>
  <c r="Z46" i="2"/>
  <c r="AA37" i="2"/>
  <c r="W47" i="2"/>
  <c r="W43" i="2"/>
  <c r="Z41" i="2"/>
  <c r="S23" i="2" s="1"/>
  <c r="R23" i="2"/>
  <c r="K23" i="2" s="1"/>
  <c r="D15" i="8"/>
  <c r="C16" i="8"/>
  <c r="W46" i="2"/>
  <c r="W42" i="2"/>
  <c r="AA36" i="2"/>
  <c r="Z47" i="2"/>
  <c r="Z43" i="2"/>
  <c r="D18" i="8"/>
  <c r="L18" i="2"/>
  <c r="E17" i="8" s="1"/>
  <c r="U18" i="2"/>
  <c r="N18" i="2" s="1"/>
  <c r="G17" i="8" s="1"/>
  <c r="L16" i="2"/>
  <c r="E15" i="8" s="1"/>
  <c r="U16" i="2"/>
  <c r="N16" i="2" s="1"/>
  <c r="G15" i="8" s="1"/>
  <c r="U17" i="2" l="1"/>
  <c r="N17" i="2" s="1"/>
  <c r="G16" i="8" s="1"/>
  <c r="R17" i="2"/>
  <c r="K17" i="2" s="1"/>
  <c r="D16" i="8" s="1"/>
  <c r="X42" i="2"/>
  <c r="W45" i="2"/>
  <c r="T17" i="2" s="1"/>
  <c r="X45" i="2"/>
  <c r="T18" i="2" s="1"/>
  <c r="M16" i="2"/>
  <c r="F15" i="8" s="1"/>
  <c r="X17" i="2"/>
  <c r="AA17" i="2" s="1"/>
  <c r="W20" i="2"/>
  <c r="I19" i="2"/>
  <c r="C18" i="8" s="1"/>
  <c r="AA41" i="2"/>
  <c r="S20" i="2" s="1"/>
  <c r="AA45" i="2"/>
  <c r="T20" i="2" s="1"/>
  <c r="I18" i="2"/>
  <c r="C17" i="8" s="1"/>
  <c r="W19" i="2"/>
  <c r="Z19" i="2" s="1"/>
  <c r="Y46" i="2"/>
  <c r="Y42" i="2"/>
  <c r="D22" i="8"/>
  <c r="L23" i="2"/>
  <c r="E22" i="8" s="1"/>
  <c r="U23" i="2"/>
  <c r="N23" i="2" s="1"/>
  <c r="G22" i="8" s="1"/>
  <c r="V23" i="2"/>
  <c r="O23" i="2" s="1"/>
  <c r="H22" i="8" s="1"/>
  <c r="AA46" i="2"/>
  <c r="AA42" i="2"/>
  <c r="AA47" i="2"/>
  <c r="AA43" i="2"/>
  <c r="X19" i="2" l="1"/>
  <c r="AA19" i="2" s="1"/>
  <c r="M18" i="2"/>
  <c r="F17" i="8" s="1"/>
  <c r="X18" i="2"/>
  <c r="AA18" i="2" s="1"/>
  <c r="M17" i="2"/>
  <c r="F16" i="8" s="1"/>
  <c r="M20" i="2"/>
  <c r="F19" i="8" s="1"/>
  <c r="X16" i="2"/>
  <c r="AA16" i="2" s="1"/>
  <c r="L20" i="2"/>
  <c r="E19" i="8" s="1"/>
  <c r="U20" i="2"/>
  <c r="N20" i="2" s="1"/>
  <c r="G19" i="8" s="1"/>
</calcChain>
</file>

<file path=xl/sharedStrings.xml><?xml version="1.0" encoding="utf-8"?>
<sst xmlns="http://schemas.openxmlformats.org/spreadsheetml/2006/main" count="445" uniqueCount="57">
  <si>
    <t>SI</t>
  </si>
  <si>
    <t>NO</t>
  </si>
  <si>
    <t>X</t>
  </si>
  <si>
    <t>FORMA</t>
  </si>
  <si>
    <t>A</t>
  </si>
  <si>
    <t>INQUIETUD/HIPERSENSIBILIDAD</t>
  </si>
  <si>
    <t>ANSIEDAD FISIOLOGICA</t>
  </si>
  <si>
    <t>PREOCUPACIONES SOCIALES/ESTRÉS</t>
  </si>
  <si>
    <t>MENTIRA</t>
  </si>
  <si>
    <t>ANSIEDAD TOTAL</t>
  </si>
  <si>
    <t xml:space="preserve">FORMA </t>
  </si>
  <si>
    <t>C</t>
  </si>
  <si>
    <t>ANSIEDAD ANTE LOS EXÁMENES</t>
  </si>
  <si>
    <t>E</t>
  </si>
  <si>
    <t>TEMOR AL ENVEJECIMIENTO</t>
  </si>
  <si>
    <t xml:space="preserve"> </t>
  </si>
  <si>
    <t>-</t>
  </si>
  <si>
    <t>INQUIE</t>
  </si>
  <si>
    <t>ANSIE</t>
  </si>
  <si>
    <t>PREOC/TEMOR</t>
  </si>
  <si>
    <t>TTAL</t>
  </si>
  <si>
    <t>ANSIE EXAM</t>
  </si>
  <si>
    <t>Puntuación Directa</t>
  </si>
  <si>
    <t>Puntuación T</t>
  </si>
  <si>
    <t>Nivel</t>
  </si>
  <si>
    <t xml:space="preserve">  </t>
  </si>
  <si>
    <t>ÁREAS</t>
  </si>
  <si>
    <t>Nombre:</t>
  </si>
  <si>
    <t>Apellidos:</t>
  </si>
  <si>
    <t>Sexo:</t>
  </si>
  <si>
    <t>Edad:</t>
  </si>
  <si>
    <t>Institución:</t>
  </si>
  <si>
    <t>Evaluador:</t>
  </si>
  <si>
    <t>Fecha:</t>
  </si>
  <si>
    <t>ESCALA DE ANSIEDAD MANIFIESTA EN ADULTOS</t>
  </si>
  <si>
    <t>AMAS</t>
  </si>
  <si>
    <t>ÍTEM</t>
  </si>
  <si>
    <t>E.</t>
  </si>
  <si>
    <t>Percentil</t>
  </si>
  <si>
    <t>Evaluación de validez</t>
  </si>
  <si>
    <t>BAJO</t>
  </si>
  <si>
    <t>ESPERADO</t>
  </si>
  <si>
    <t>ELEVACION LEVE</t>
  </si>
  <si>
    <t>CLINICAMENTE SIGNIFICATIVA</t>
  </si>
  <si>
    <t>EXTREMO</t>
  </si>
  <si>
    <t>CUESTIONABLE</t>
  </si>
  <si>
    <t>VALIDO</t>
  </si>
  <si>
    <t>PROBABLEMENTE INVALIDO</t>
  </si>
  <si>
    <t>Categoria</t>
  </si>
  <si>
    <t xml:space="preserve">   </t>
  </si>
  <si>
    <t>PD</t>
  </si>
  <si>
    <t>PT</t>
  </si>
  <si>
    <t>PC</t>
  </si>
  <si>
    <t>ESCRIBE LA FORMA APLICADA (A, C ó E)</t>
  </si>
  <si>
    <t>ESCRIBE UNA "X" DEBAJO DE "SI" O "NO" SEGUN LAS RESPUESTAS DEL EXAMINADO</t>
  </si>
  <si>
    <t>Categoría</t>
  </si>
  <si>
    <t>Validéz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</si>
</sst>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name val="Arial"/>
      <family val="2"/>
    </font>
    <font>
      <sz val="10"/>
      <color theme="4" tint="0.7999816888943144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2" borderId="0" xfId="0" applyFont="1" applyFill="1"/>
    <xf numFmtId="0" fontId="3" fillId="3" borderId="1" xfId="0" applyFont="1" applyFill="1" applyBorder="1" applyAlignment="1">
      <alignment horizontal="center"/>
    </xf>
    <xf numFmtId="0" fontId="1" fillId="2" borderId="0" xfId="0" applyFont="1" applyFill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6" fillId="2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0" borderId="0" xfId="0" applyFont="1" applyFill="1"/>
    <xf numFmtId="0" fontId="6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0" xfId="0" applyFont="1" applyFill="1"/>
    <xf numFmtId="0" fontId="0" fillId="3" borderId="5" xfId="0" applyFill="1" applyBorder="1"/>
    <xf numFmtId="0" fontId="1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5" fillId="5" borderId="0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vertical="center"/>
    </xf>
    <xf numFmtId="0" fontId="12" fillId="6" borderId="15" xfId="0" applyFont="1" applyFill="1" applyBorder="1" applyAlignment="1">
      <alignment vertical="center"/>
    </xf>
    <xf numFmtId="0" fontId="12" fillId="6" borderId="16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0" fillId="5" borderId="0" xfId="0" applyFill="1" applyAlignment="1">
      <alignment vertical="center"/>
    </xf>
    <xf numFmtId="0" fontId="0" fillId="7" borderId="2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12" fillId="6" borderId="4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12" fillId="6" borderId="5" xfId="0" applyFont="1" applyFill="1" applyBorder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6" fillId="7" borderId="2" xfId="0" applyFont="1" applyFill="1" applyBorder="1" applyAlignment="1">
      <alignment horizontal="left" vertical="center"/>
    </xf>
    <xf numFmtId="0" fontId="6" fillId="7" borderId="3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3" xfId="0" applyFont="1" applyFill="1" applyBorder="1" applyAlignment="1">
      <alignment horizontal="left" vertical="center"/>
    </xf>
    <xf numFmtId="0" fontId="14" fillId="7" borderId="4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Resultados 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</c:spPr>
          </c:dPt>
          <c:dLbls>
            <c:spPr>
              <a:solidFill>
                <a:schemeClr val="bg1">
                  <a:lumMod val="95000"/>
                </a:schemeClr>
              </a:solidFill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RESULTADOS!$B$33:$B$35</c:f>
              <c:strCache>
                <c:ptCount val="3"/>
                <c:pt idx="0">
                  <c:v>INQUIETUD/HIPERSENSIBILIDAD</c:v>
                </c:pt>
                <c:pt idx="1">
                  <c:v>ANSIEDAD FISIOLOGICA</c:v>
                </c:pt>
                <c:pt idx="2">
                  <c:v>PREOCUPACIONES SOCIALES/ESTRÉS</c:v>
                </c:pt>
              </c:strCache>
            </c:strRef>
          </c:cat>
          <c:val>
            <c:numRef>
              <c:f>RESULTADOS!$C$33:$C$35</c:f>
              <c:numCache>
                <c:formatCode>General</c:formatCode>
                <c:ptCount val="3"/>
                <c:pt idx="0">
                  <c:v>99</c:v>
                </c:pt>
                <c:pt idx="1">
                  <c:v>99</c:v>
                </c:pt>
                <c:pt idx="2">
                  <c:v>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3020928"/>
        <c:axId val="113024384"/>
        <c:axId val="0"/>
      </c:bar3DChart>
      <c:catAx>
        <c:axId val="113020928"/>
        <c:scaling>
          <c:orientation val="minMax"/>
        </c:scaling>
        <c:delete val="0"/>
        <c:axPos val="l"/>
        <c:majorGridlines/>
        <c:majorTickMark val="none"/>
        <c:minorTickMark val="none"/>
        <c:tickLblPos val="nextTo"/>
        <c:crossAx val="113024384"/>
        <c:crosses val="autoZero"/>
        <c:auto val="1"/>
        <c:lblAlgn val="ctr"/>
        <c:lblOffset val="100"/>
        <c:noMultiLvlLbl val="0"/>
      </c:catAx>
      <c:valAx>
        <c:axId val="113024384"/>
        <c:scaling>
          <c:orientation val="minMax"/>
        </c:scaling>
        <c:delete val="1"/>
        <c:axPos val="b"/>
        <c:majorGridlines/>
        <c:numFmt formatCode="General" sourceLinked="1"/>
        <c:majorTickMark val="out"/>
        <c:minorTickMark val="none"/>
        <c:tickLblPos val="nextTo"/>
        <c:crossAx val="113020928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ESCALA DE ANSIEDAD MANIFIESTA EN ADULTOS</a:t>
            </a:r>
          </a:p>
        </c:rich>
      </c:tx>
      <c:layout>
        <c:manualLayout>
          <c:xMode val="edge"/>
          <c:yMode val="edge"/>
          <c:x val="0.2996670366259711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361820199778023E-2"/>
          <c:y val="0.12071778140293637"/>
          <c:w val="0.91453940066592676"/>
          <c:h val="0.4991843393148450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</c:dPt>
          <c:dPt>
            <c:idx val="6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</c:dPt>
          <c:cat>
            <c:strRef>
              <c:f>RR!$W$15:$W$21</c:f>
              <c:strCache>
                <c:ptCount val="7"/>
                <c:pt idx="0">
                  <c:v>   </c:v>
                </c:pt>
                <c:pt idx="1">
                  <c:v>ANSIEDAD TOTAL</c:v>
                </c:pt>
                <c:pt idx="2">
                  <c:v>INQUIETUD/HIPERSENSIBILIDAD</c:v>
                </c:pt>
                <c:pt idx="3">
                  <c:v>ANSIEDAD FISIOLOGICA</c:v>
                </c:pt>
                <c:pt idx="4">
                  <c:v>PREOCUPACIONES SOCIALES/ESTRÉS</c:v>
                </c:pt>
                <c:pt idx="5">
                  <c:v>-</c:v>
                </c:pt>
                <c:pt idx="6">
                  <c:v>  </c:v>
                </c:pt>
              </c:strCache>
            </c:strRef>
          </c:cat>
          <c:val>
            <c:numRef>
              <c:f>RR!$X$15:$X$21</c:f>
              <c:numCache>
                <c:formatCode>General</c:formatCode>
                <c:ptCount val="7"/>
                <c:pt idx="0">
                  <c:v>1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0</c:v>
                </c:pt>
                <c:pt idx="6">
                  <c:v>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70176"/>
        <c:axId val="113572096"/>
      </c:lineChart>
      <c:catAx>
        <c:axId val="11357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AREAS</a:t>
                </a:r>
              </a:p>
            </c:rich>
          </c:tx>
          <c:layout>
            <c:manualLayout>
              <c:xMode val="edge"/>
              <c:yMode val="edge"/>
              <c:x val="0.5049944506104328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35720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3572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PERCENTILES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295269168026101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3570176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ESCALA DE ANSIEDAD MANIFIESTA EN ADULTOS</a:t>
            </a:r>
          </a:p>
        </c:rich>
      </c:tx>
      <c:layout>
        <c:manualLayout>
          <c:xMode val="edge"/>
          <c:yMode val="edge"/>
          <c:x val="0.2996670366259711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361820199778023E-2"/>
          <c:y val="0.12071778140293637"/>
          <c:w val="0.91453940066592676"/>
          <c:h val="0.49918433931484502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</c:dPt>
          <c:dPt>
            <c:idx val="5"/>
            <c:bubble3D val="0"/>
            <c:spPr>
              <a:ln w="12700">
                <a:solidFill>
                  <a:srgbClr val="C0C0C0"/>
                </a:solidFill>
                <a:prstDash val="solid"/>
              </a:ln>
            </c:spPr>
          </c:dPt>
          <c:cat>
            <c:strRef>
              <c:f>RR!$Z$15:$Z$20</c:f>
              <c:strCache>
                <c:ptCount val="6"/>
                <c:pt idx="0">
                  <c:v>   </c:v>
                </c:pt>
                <c:pt idx="1">
                  <c:v>ANSIEDAD TOTAL</c:v>
                </c:pt>
                <c:pt idx="2">
                  <c:v>INQUIETUD/HIPERSENSIBILIDAD</c:v>
                </c:pt>
                <c:pt idx="3">
                  <c:v>ANSIEDAD FISIOLOGICA</c:v>
                </c:pt>
                <c:pt idx="4">
                  <c:v>PREOCUPACIONES SOCIALES/ESTRÉS</c:v>
                </c:pt>
                <c:pt idx="5">
                  <c:v>  </c:v>
                </c:pt>
              </c:strCache>
            </c:strRef>
          </c:cat>
          <c:val>
            <c:numRef>
              <c:f>RR!$AA$15:$AA$20</c:f>
              <c:numCache>
                <c:formatCode>General</c:formatCode>
                <c:ptCount val="6"/>
                <c:pt idx="0">
                  <c:v>1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11680"/>
        <c:axId val="112317952"/>
      </c:lineChart>
      <c:catAx>
        <c:axId val="11231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AREAS</a:t>
                </a:r>
              </a:p>
            </c:rich>
          </c:tx>
          <c:layout>
            <c:manualLayout>
              <c:xMode val="edge"/>
              <c:yMode val="edge"/>
              <c:x val="0.5049944506104328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23179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317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PERCENTILES</a:t>
                </a:r>
              </a:p>
            </c:rich>
          </c:tx>
          <c:layout>
            <c:manualLayout>
              <c:xMode val="edge"/>
              <c:yMode val="edge"/>
              <c:x val="1.2208657047724751E-2"/>
              <c:y val="0.295269168026101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23116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" footer="0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8" workbookViewId="0"/>
  </sheetViews>
  <pageMargins left="0.75" right="0.75" top="1" bottom="1" header="0" footer="0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30</xdr:row>
      <xdr:rowOff>276224</xdr:rowOff>
    </xdr:from>
    <xdr:to>
      <xdr:col>7</xdr:col>
      <xdr:colOff>571500</xdr:colOff>
      <xdr:row>40</xdr:row>
      <xdr:rowOff>266699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0739" cy="6299489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6"/>
  <sheetViews>
    <sheetView tabSelected="1" zoomScale="85" workbookViewId="0">
      <selection activeCell="J11" sqref="J11"/>
    </sheetView>
  </sheetViews>
  <sheetFormatPr baseColWidth="10" defaultRowHeight="24.75" customHeight="1" x14ac:dyDescent="0.2"/>
  <cols>
    <col min="1" max="1" width="4.7109375" style="20" customWidth="1"/>
    <col min="2" max="16384" width="11.42578125" style="20"/>
  </cols>
  <sheetData>
    <row r="1" spans="1:9" s="17" customFormat="1" ht="24.75" customHeight="1" thickBot="1" x14ac:dyDescent="0.25"/>
    <row r="2" spans="1:9" s="18" customFormat="1" ht="33" customHeight="1" thickBot="1" x14ac:dyDescent="0.25">
      <c r="A2" s="17"/>
      <c r="B2" s="55" t="s">
        <v>34</v>
      </c>
      <c r="C2" s="56"/>
      <c r="D2" s="56"/>
      <c r="E2" s="56"/>
      <c r="F2" s="56"/>
      <c r="G2" s="56"/>
      <c r="H2" s="56"/>
      <c r="I2" s="57"/>
    </row>
    <row r="3" spans="1:9" s="19" customFormat="1" ht="33" customHeight="1" thickBot="1" x14ac:dyDescent="0.25">
      <c r="A3" s="18"/>
      <c r="B3" s="18"/>
      <c r="C3" s="18"/>
      <c r="D3" s="18"/>
      <c r="E3" s="58" t="s">
        <v>35</v>
      </c>
      <c r="F3" s="59"/>
    </row>
    <row r="4" spans="1:9" s="19" customFormat="1" ht="18.75" customHeight="1" thickBot="1" x14ac:dyDescent="0.25">
      <c r="A4" s="18"/>
      <c r="B4" s="18"/>
      <c r="C4" s="18"/>
      <c r="D4" s="18"/>
      <c r="E4" s="18"/>
      <c r="F4" s="18"/>
      <c r="G4" s="18"/>
    </row>
    <row r="5" spans="1:9" ht="24.75" customHeight="1" thickBot="1" x14ac:dyDescent="0.25">
      <c r="B5" s="37" t="s">
        <v>27</v>
      </c>
      <c r="C5" s="52" t="s">
        <v>37</v>
      </c>
      <c r="D5" s="53"/>
      <c r="E5" s="53"/>
      <c r="F5" s="53"/>
      <c r="G5" s="53"/>
      <c r="H5" s="54"/>
    </row>
    <row r="6" spans="1:9" ht="24.75" customHeight="1" thickBot="1" x14ac:dyDescent="0.25">
      <c r="B6" s="38" t="s">
        <v>28</v>
      </c>
      <c r="C6" s="52" t="s">
        <v>37</v>
      </c>
      <c r="D6" s="53"/>
      <c r="E6" s="53"/>
      <c r="F6" s="53"/>
      <c r="G6" s="53"/>
      <c r="H6" s="54"/>
    </row>
    <row r="7" spans="1:9" ht="24.75" customHeight="1" thickBot="1" x14ac:dyDescent="0.25">
      <c r="B7" s="38" t="s">
        <v>29</v>
      </c>
      <c r="C7" s="52" t="s">
        <v>37</v>
      </c>
      <c r="D7" s="53"/>
      <c r="E7" s="53"/>
      <c r="F7" s="53"/>
      <c r="G7" s="53"/>
      <c r="H7" s="54"/>
    </row>
    <row r="8" spans="1:9" ht="24.75" customHeight="1" thickBot="1" x14ac:dyDescent="0.25">
      <c r="B8" s="38" t="s">
        <v>30</v>
      </c>
      <c r="C8" s="52" t="s">
        <v>37</v>
      </c>
      <c r="D8" s="53"/>
      <c r="E8" s="53"/>
      <c r="F8" s="53"/>
      <c r="G8" s="53"/>
      <c r="H8" s="54"/>
    </row>
    <row r="9" spans="1:9" ht="24.75" customHeight="1" thickBot="1" x14ac:dyDescent="0.25">
      <c r="B9" s="38" t="s">
        <v>31</v>
      </c>
      <c r="C9" s="52" t="s">
        <v>37</v>
      </c>
      <c r="D9" s="53"/>
      <c r="E9" s="53"/>
      <c r="F9" s="53"/>
      <c r="G9" s="53"/>
      <c r="H9" s="54"/>
    </row>
    <row r="10" spans="1:9" ht="24.75" customHeight="1" thickBot="1" x14ac:dyDescent="0.25">
      <c r="B10" s="38" t="s">
        <v>32</v>
      </c>
      <c r="C10" s="52" t="s">
        <v>37</v>
      </c>
      <c r="D10" s="53"/>
      <c r="E10" s="53"/>
      <c r="F10" s="53"/>
      <c r="G10" s="53"/>
      <c r="H10" s="54"/>
    </row>
    <row r="11" spans="1:9" ht="24.75" customHeight="1" thickBot="1" x14ac:dyDescent="0.25">
      <c r="B11" s="39" t="s">
        <v>33</v>
      </c>
      <c r="C11" s="52" t="s">
        <v>37</v>
      </c>
      <c r="D11" s="53"/>
      <c r="E11" s="53"/>
      <c r="F11" s="53"/>
      <c r="G11" s="53"/>
      <c r="H11" s="54"/>
    </row>
    <row r="12" spans="1:9" ht="24.75" customHeight="1" x14ac:dyDescent="0.2">
      <c r="B12" s="21"/>
    </row>
    <row r="13" spans="1:9" ht="24.75" customHeight="1" x14ac:dyDescent="0.2">
      <c r="B13" s="24" t="s">
        <v>3</v>
      </c>
      <c r="C13" s="23" t="s">
        <v>4</v>
      </c>
      <c r="D13" s="20" t="s">
        <v>53</v>
      </c>
    </row>
    <row r="14" spans="1:9" ht="24.75" customHeight="1" thickBot="1" x14ac:dyDescent="0.25"/>
    <row r="15" spans="1:9" ht="24.75" customHeight="1" thickBot="1" x14ac:dyDescent="0.25">
      <c r="B15" s="25" t="s">
        <v>54</v>
      </c>
      <c r="C15" s="26"/>
      <c r="D15" s="26"/>
      <c r="E15" s="26"/>
      <c r="F15" s="26"/>
      <c r="G15" s="26"/>
      <c r="H15" s="27"/>
    </row>
    <row r="17" spans="2:43" ht="24.75" customHeight="1" thickBot="1" x14ac:dyDescent="0.25">
      <c r="B17" s="28" t="s">
        <v>36</v>
      </c>
      <c r="C17" s="30" t="s">
        <v>0</v>
      </c>
      <c r="D17" s="30" t="s">
        <v>1</v>
      </c>
    </row>
    <row r="18" spans="2:43" ht="24.75" customHeight="1" x14ac:dyDescent="0.2">
      <c r="B18" s="29">
        <v>1</v>
      </c>
      <c r="C18" s="31" t="s">
        <v>2</v>
      </c>
      <c r="D18" s="32" t="s">
        <v>2</v>
      </c>
    </row>
    <row r="19" spans="2:43" ht="24.75" customHeight="1" x14ac:dyDescent="0.2">
      <c r="B19" s="29">
        <v>2</v>
      </c>
      <c r="C19" s="33" t="s">
        <v>2</v>
      </c>
      <c r="D19" s="34" t="s">
        <v>2</v>
      </c>
    </row>
    <row r="20" spans="2:43" ht="24.75" customHeight="1" x14ac:dyDescent="0.2">
      <c r="B20" s="29">
        <v>3</v>
      </c>
      <c r="C20" s="33" t="s">
        <v>2</v>
      </c>
      <c r="D20" s="34" t="s">
        <v>2</v>
      </c>
    </row>
    <row r="21" spans="2:43" ht="24.75" customHeight="1" x14ac:dyDescent="0.2">
      <c r="B21" s="29">
        <v>4</v>
      </c>
      <c r="C21" s="33" t="s">
        <v>2</v>
      </c>
      <c r="D21" s="34" t="s">
        <v>2</v>
      </c>
    </row>
    <row r="22" spans="2:43" ht="24.75" customHeight="1" x14ac:dyDescent="0.2">
      <c r="B22" s="29">
        <v>5</v>
      </c>
      <c r="C22" s="33" t="s">
        <v>2</v>
      </c>
      <c r="D22" s="34" t="s">
        <v>2</v>
      </c>
    </row>
    <row r="23" spans="2:43" ht="24.75" customHeight="1" x14ac:dyDescent="0.2">
      <c r="B23" s="29">
        <v>6</v>
      </c>
      <c r="C23" s="33" t="s">
        <v>2</v>
      </c>
      <c r="D23" s="34" t="s">
        <v>2</v>
      </c>
    </row>
    <row r="24" spans="2:43" ht="24.75" customHeight="1" x14ac:dyDescent="0.2">
      <c r="B24" s="29">
        <v>7</v>
      </c>
      <c r="C24" s="33" t="s">
        <v>2</v>
      </c>
      <c r="D24" s="34" t="s">
        <v>2</v>
      </c>
    </row>
    <row r="25" spans="2:43" ht="24.75" customHeight="1" x14ac:dyDescent="0.2">
      <c r="B25" s="29">
        <v>8</v>
      </c>
      <c r="C25" s="33" t="s">
        <v>2</v>
      </c>
      <c r="D25" s="34" t="s">
        <v>2</v>
      </c>
    </row>
    <row r="26" spans="2:43" ht="24.75" customHeight="1" x14ac:dyDescent="0.2">
      <c r="B26" s="29">
        <v>9</v>
      </c>
      <c r="C26" s="33" t="s">
        <v>2</v>
      </c>
      <c r="D26" s="34" t="s">
        <v>2</v>
      </c>
    </row>
    <row r="27" spans="2:43" ht="24.75" customHeight="1" x14ac:dyDescent="0.2">
      <c r="B27" s="29">
        <v>10</v>
      </c>
      <c r="C27" s="33" t="s">
        <v>2</v>
      </c>
      <c r="D27" s="34" t="s">
        <v>2</v>
      </c>
    </row>
    <row r="28" spans="2:43" ht="24.75" customHeight="1" x14ac:dyDescent="0.2">
      <c r="B28" s="29">
        <v>11</v>
      </c>
      <c r="C28" s="33" t="s">
        <v>2</v>
      </c>
      <c r="D28" s="34" t="s">
        <v>2</v>
      </c>
    </row>
    <row r="29" spans="2:43" ht="24.75" customHeight="1" x14ac:dyDescent="0.2">
      <c r="B29" s="29">
        <v>12</v>
      </c>
      <c r="C29" s="33" t="s">
        <v>2</v>
      </c>
      <c r="D29" s="34" t="s">
        <v>2</v>
      </c>
    </row>
    <row r="30" spans="2:43" ht="24.75" customHeight="1" x14ac:dyDescent="0.2">
      <c r="B30" s="29">
        <v>13</v>
      </c>
      <c r="C30" s="33" t="s">
        <v>2</v>
      </c>
      <c r="D30" s="34" t="s">
        <v>2</v>
      </c>
      <c r="U30" s="22"/>
      <c r="V30" s="22"/>
      <c r="W30" s="22"/>
      <c r="X30" s="22"/>
      <c r="AQ30" s="22"/>
    </row>
    <row r="31" spans="2:43" ht="24.75" customHeight="1" x14ac:dyDescent="0.2">
      <c r="B31" s="29">
        <v>14</v>
      </c>
      <c r="C31" s="33" t="s">
        <v>2</v>
      </c>
      <c r="D31" s="34" t="s">
        <v>2</v>
      </c>
      <c r="U31" s="22"/>
      <c r="V31" s="22"/>
      <c r="W31" s="22"/>
      <c r="X31" s="22"/>
      <c r="AQ31" s="22"/>
    </row>
    <row r="32" spans="2:43" ht="24.75" customHeight="1" x14ac:dyDescent="0.2">
      <c r="B32" s="29">
        <v>15</v>
      </c>
      <c r="C32" s="33" t="s">
        <v>2</v>
      </c>
      <c r="D32" s="34" t="s">
        <v>2</v>
      </c>
      <c r="U32" s="22"/>
      <c r="V32" s="22"/>
      <c r="W32" s="22"/>
      <c r="X32" s="22"/>
      <c r="AQ32" s="22"/>
    </row>
    <row r="33" spans="2:43" ht="24.75" customHeight="1" x14ac:dyDescent="0.2">
      <c r="B33" s="29">
        <v>16</v>
      </c>
      <c r="C33" s="33" t="s">
        <v>2</v>
      </c>
      <c r="D33" s="34" t="s">
        <v>2</v>
      </c>
      <c r="U33" s="22"/>
      <c r="V33" s="22"/>
      <c r="W33" s="22"/>
      <c r="X33" s="22"/>
      <c r="AQ33" s="22"/>
    </row>
    <row r="34" spans="2:43" ht="24.75" customHeight="1" x14ac:dyDescent="0.2">
      <c r="B34" s="29">
        <v>17</v>
      </c>
      <c r="C34" s="33" t="s">
        <v>2</v>
      </c>
      <c r="D34" s="34" t="s">
        <v>2</v>
      </c>
      <c r="U34" s="22"/>
      <c r="V34" s="22"/>
      <c r="W34" s="22"/>
      <c r="X34" s="22"/>
      <c r="AQ34" s="22"/>
    </row>
    <row r="35" spans="2:43" ht="24.75" customHeight="1" x14ac:dyDescent="0.2">
      <c r="B35" s="29">
        <v>18</v>
      </c>
      <c r="C35" s="33" t="s">
        <v>2</v>
      </c>
      <c r="D35" s="34" t="s">
        <v>2</v>
      </c>
      <c r="U35" s="22"/>
      <c r="V35" s="22"/>
      <c r="W35" s="22"/>
      <c r="X35" s="22"/>
      <c r="AQ35" s="22"/>
    </row>
    <row r="36" spans="2:43" ht="24.75" customHeight="1" x14ac:dyDescent="0.2">
      <c r="B36" s="29">
        <v>19</v>
      </c>
      <c r="C36" s="33" t="s">
        <v>2</v>
      </c>
      <c r="D36" s="34" t="s">
        <v>2</v>
      </c>
      <c r="U36" s="22"/>
      <c r="V36" s="22"/>
      <c r="W36" s="22"/>
      <c r="X36" s="22"/>
      <c r="AQ36" s="22"/>
    </row>
    <row r="37" spans="2:43" ht="24.75" customHeight="1" x14ac:dyDescent="0.2">
      <c r="B37" s="29">
        <v>20</v>
      </c>
      <c r="C37" s="33" t="s">
        <v>2</v>
      </c>
      <c r="D37" s="34" t="s">
        <v>2</v>
      </c>
      <c r="U37" s="22"/>
      <c r="V37" s="22"/>
      <c r="W37" s="22"/>
      <c r="X37" s="22"/>
      <c r="AQ37" s="22"/>
    </row>
    <row r="38" spans="2:43" ht="24.75" customHeight="1" x14ac:dyDescent="0.2">
      <c r="B38" s="29">
        <v>21</v>
      </c>
      <c r="C38" s="33" t="s">
        <v>2</v>
      </c>
      <c r="D38" s="34" t="s">
        <v>2</v>
      </c>
      <c r="U38" s="22"/>
      <c r="V38" s="22"/>
      <c r="W38" s="22"/>
      <c r="X38" s="22"/>
      <c r="AQ38" s="22"/>
    </row>
    <row r="39" spans="2:43" ht="24.75" customHeight="1" x14ac:dyDescent="0.2">
      <c r="B39" s="29">
        <v>22</v>
      </c>
      <c r="C39" s="33" t="s">
        <v>2</v>
      </c>
      <c r="D39" s="34" t="s">
        <v>2</v>
      </c>
      <c r="U39" s="22"/>
      <c r="V39" s="22"/>
      <c r="W39" s="22"/>
      <c r="X39" s="22"/>
      <c r="AQ39" s="22"/>
    </row>
    <row r="40" spans="2:43" ht="24.75" customHeight="1" x14ac:dyDescent="0.2">
      <c r="B40" s="29">
        <v>23</v>
      </c>
      <c r="C40" s="33" t="s">
        <v>2</v>
      </c>
      <c r="D40" s="34" t="s">
        <v>2</v>
      </c>
      <c r="U40" s="22"/>
      <c r="V40" s="22"/>
      <c r="W40" s="22"/>
      <c r="X40" s="22"/>
      <c r="AQ40" s="22"/>
    </row>
    <row r="41" spans="2:43" ht="24.75" customHeight="1" x14ac:dyDescent="0.2">
      <c r="B41" s="29">
        <v>24</v>
      </c>
      <c r="C41" s="33" t="s">
        <v>2</v>
      </c>
      <c r="D41" s="34" t="s">
        <v>2</v>
      </c>
      <c r="U41" s="22"/>
      <c r="V41" s="22"/>
      <c r="W41" s="22"/>
      <c r="X41" s="22"/>
      <c r="AQ41" s="22"/>
    </row>
    <row r="42" spans="2:43" ht="24.75" customHeight="1" x14ac:dyDescent="0.2">
      <c r="B42" s="29">
        <v>25</v>
      </c>
      <c r="C42" s="33" t="s">
        <v>2</v>
      </c>
      <c r="D42" s="34" t="s">
        <v>2</v>
      </c>
      <c r="U42" s="22"/>
      <c r="V42" s="22"/>
      <c r="W42" s="22"/>
      <c r="X42" s="22"/>
      <c r="AQ42" s="22"/>
    </row>
    <row r="43" spans="2:43" ht="24.75" customHeight="1" x14ac:dyDescent="0.2">
      <c r="B43" s="29">
        <v>26</v>
      </c>
      <c r="C43" s="33" t="s">
        <v>2</v>
      </c>
      <c r="D43" s="34" t="s">
        <v>2</v>
      </c>
      <c r="U43" s="22"/>
      <c r="V43" s="22"/>
      <c r="W43" s="22"/>
      <c r="X43" s="22"/>
      <c r="AQ43" s="22"/>
    </row>
    <row r="44" spans="2:43" ht="24.75" customHeight="1" x14ac:dyDescent="0.2">
      <c r="B44" s="29">
        <v>27</v>
      </c>
      <c r="C44" s="33" t="s">
        <v>2</v>
      </c>
      <c r="D44" s="34" t="s">
        <v>2</v>
      </c>
      <c r="U44" s="22"/>
      <c r="V44" s="22"/>
      <c r="W44" s="22"/>
      <c r="X44" s="22"/>
      <c r="AQ44" s="22"/>
    </row>
    <row r="45" spans="2:43" ht="24.75" customHeight="1" x14ac:dyDescent="0.2">
      <c r="B45" s="29">
        <v>28</v>
      </c>
      <c r="C45" s="33" t="s">
        <v>2</v>
      </c>
      <c r="D45" s="34" t="s">
        <v>2</v>
      </c>
      <c r="U45" s="22"/>
      <c r="V45" s="22"/>
      <c r="W45" s="22"/>
      <c r="X45" s="22"/>
      <c r="AQ45" s="22"/>
    </row>
    <row r="46" spans="2:43" ht="24.75" customHeight="1" x14ac:dyDescent="0.2">
      <c r="B46" s="29">
        <v>29</v>
      </c>
      <c r="C46" s="33" t="s">
        <v>2</v>
      </c>
      <c r="D46" s="34" t="s">
        <v>2</v>
      </c>
      <c r="U46" s="22"/>
      <c r="V46" s="22"/>
      <c r="W46" s="22"/>
      <c r="X46" s="22"/>
      <c r="AQ46" s="22"/>
    </row>
    <row r="47" spans="2:43" ht="24.75" customHeight="1" x14ac:dyDescent="0.2">
      <c r="B47" s="29">
        <v>30</v>
      </c>
      <c r="C47" s="33" t="s">
        <v>2</v>
      </c>
      <c r="D47" s="34" t="s">
        <v>2</v>
      </c>
      <c r="U47" s="22"/>
      <c r="V47" s="22"/>
      <c r="W47" s="22"/>
      <c r="X47" s="22"/>
      <c r="AQ47" s="22"/>
    </row>
    <row r="48" spans="2:43" ht="24.75" customHeight="1" x14ac:dyDescent="0.2">
      <c r="B48" s="29">
        <v>31</v>
      </c>
      <c r="C48" s="33" t="s">
        <v>2</v>
      </c>
      <c r="D48" s="34" t="s">
        <v>2</v>
      </c>
      <c r="U48" s="22"/>
      <c r="V48" s="22"/>
      <c r="W48" s="22"/>
      <c r="X48" s="22"/>
      <c r="AQ48" s="22"/>
    </row>
    <row r="49" spans="2:43" ht="24.75" customHeight="1" x14ac:dyDescent="0.2">
      <c r="B49" s="29">
        <v>32</v>
      </c>
      <c r="C49" s="33" t="s">
        <v>2</v>
      </c>
      <c r="D49" s="34" t="s">
        <v>2</v>
      </c>
      <c r="U49" s="22"/>
      <c r="V49" s="22"/>
      <c r="W49" s="22"/>
      <c r="X49" s="22"/>
      <c r="AQ49" s="22"/>
    </row>
    <row r="50" spans="2:43" ht="24.75" customHeight="1" x14ac:dyDescent="0.2">
      <c r="B50" s="29">
        <v>33</v>
      </c>
      <c r="C50" s="33" t="s">
        <v>2</v>
      </c>
      <c r="D50" s="34" t="s">
        <v>2</v>
      </c>
      <c r="U50" s="22"/>
      <c r="V50" s="22"/>
      <c r="W50" s="22"/>
      <c r="X50" s="22"/>
      <c r="AQ50" s="22"/>
    </row>
    <row r="51" spans="2:43" ht="24.75" customHeight="1" x14ac:dyDescent="0.2">
      <c r="B51" s="29">
        <v>34</v>
      </c>
      <c r="C51" s="33" t="s">
        <v>2</v>
      </c>
      <c r="D51" s="34" t="s">
        <v>2</v>
      </c>
      <c r="U51" s="22"/>
      <c r="V51" s="22"/>
      <c r="W51" s="22"/>
      <c r="X51" s="22"/>
      <c r="AQ51" s="22"/>
    </row>
    <row r="52" spans="2:43" ht="24.75" customHeight="1" x14ac:dyDescent="0.2">
      <c r="B52" s="29">
        <v>35</v>
      </c>
      <c r="C52" s="33" t="s">
        <v>2</v>
      </c>
      <c r="D52" s="34" t="s">
        <v>2</v>
      </c>
      <c r="U52" s="22"/>
      <c r="V52" s="22"/>
      <c r="W52" s="22"/>
      <c r="X52" s="22"/>
      <c r="AQ52" s="22"/>
    </row>
    <row r="53" spans="2:43" ht="24.75" customHeight="1" x14ac:dyDescent="0.2">
      <c r="B53" s="29">
        <v>36</v>
      </c>
      <c r="C53" s="33" t="s">
        <v>2</v>
      </c>
      <c r="D53" s="34" t="s">
        <v>2</v>
      </c>
      <c r="U53" s="22"/>
      <c r="V53" s="22"/>
      <c r="W53" s="22"/>
      <c r="X53" s="22"/>
      <c r="AQ53" s="22"/>
    </row>
    <row r="54" spans="2:43" ht="24.75" customHeight="1" x14ac:dyDescent="0.2">
      <c r="B54" s="29">
        <v>37</v>
      </c>
      <c r="C54" s="33" t="s">
        <v>2</v>
      </c>
      <c r="D54" s="34" t="s">
        <v>2</v>
      </c>
      <c r="U54" s="22"/>
      <c r="V54" s="22"/>
      <c r="W54" s="22"/>
      <c r="X54" s="22"/>
      <c r="AQ54" s="22"/>
    </row>
    <row r="55" spans="2:43" ht="24.75" customHeight="1" x14ac:dyDescent="0.2">
      <c r="B55" s="29">
        <v>38</v>
      </c>
      <c r="C55" s="33" t="s">
        <v>2</v>
      </c>
      <c r="D55" s="34" t="s">
        <v>2</v>
      </c>
      <c r="U55" s="22"/>
      <c r="V55" s="22"/>
      <c r="W55" s="22"/>
      <c r="X55" s="22"/>
      <c r="AQ55" s="22"/>
    </row>
    <row r="56" spans="2:43" ht="24.75" customHeight="1" x14ac:dyDescent="0.2">
      <c r="B56" s="29">
        <v>39</v>
      </c>
      <c r="C56" s="33" t="s">
        <v>2</v>
      </c>
      <c r="D56" s="34" t="s">
        <v>2</v>
      </c>
    </row>
    <row r="57" spans="2:43" ht="24.75" customHeight="1" x14ac:dyDescent="0.2">
      <c r="B57" s="29">
        <v>40</v>
      </c>
      <c r="C57" s="33" t="s">
        <v>2</v>
      </c>
      <c r="D57" s="34" t="s">
        <v>2</v>
      </c>
    </row>
    <row r="58" spans="2:43" ht="24.75" customHeight="1" x14ac:dyDescent="0.2">
      <c r="B58" s="29">
        <v>41</v>
      </c>
      <c r="C58" s="33" t="s">
        <v>2</v>
      </c>
      <c r="D58" s="34" t="s">
        <v>2</v>
      </c>
    </row>
    <row r="59" spans="2:43" ht="24.75" customHeight="1" x14ac:dyDescent="0.2">
      <c r="B59" s="29">
        <v>42</v>
      </c>
      <c r="C59" s="33" t="s">
        <v>2</v>
      </c>
      <c r="D59" s="34" t="s">
        <v>2</v>
      </c>
    </row>
    <row r="60" spans="2:43" ht="24.75" customHeight="1" x14ac:dyDescent="0.2">
      <c r="B60" s="29">
        <v>43</v>
      </c>
      <c r="C60" s="33" t="s">
        <v>2</v>
      </c>
      <c r="D60" s="34" t="s">
        <v>2</v>
      </c>
    </row>
    <row r="61" spans="2:43" ht="24.75" customHeight="1" x14ac:dyDescent="0.2">
      <c r="B61" s="29">
        <v>44</v>
      </c>
      <c r="C61" s="33" t="s">
        <v>2</v>
      </c>
      <c r="D61" s="34" t="s">
        <v>2</v>
      </c>
    </row>
    <row r="62" spans="2:43" ht="24.75" customHeight="1" x14ac:dyDescent="0.2">
      <c r="B62" s="29">
        <v>45</v>
      </c>
      <c r="C62" s="33" t="s">
        <v>2</v>
      </c>
      <c r="D62" s="34" t="s">
        <v>2</v>
      </c>
    </row>
    <row r="63" spans="2:43" ht="24.75" customHeight="1" x14ac:dyDescent="0.2">
      <c r="B63" s="29">
        <v>46</v>
      </c>
      <c r="C63" s="33" t="s">
        <v>2</v>
      </c>
      <c r="D63" s="34" t="s">
        <v>2</v>
      </c>
    </row>
    <row r="64" spans="2:43" ht="24.75" customHeight="1" x14ac:dyDescent="0.2">
      <c r="B64" s="29">
        <v>47</v>
      </c>
      <c r="C64" s="33" t="s">
        <v>2</v>
      </c>
      <c r="D64" s="34" t="s">
        <v>2</v>
      </c>
    </row>
    <row r="65" spans="2:4" ht="24.75" customHeight="1" x14ac:dyDescent="0.2">
      <c r="B65" s="29">
        <v>48</v>
      </c>
      <c r="C65" s="33" t="s">
        <v>2</v>
      </c>
      <c r="D65" s="34" t="s">
        <v>2</v>
      </c>
    </row>
    <row r="66" spans="2:4" ht="24.75" customHeight="1" thickBot="1" x14ac:dyDescent="0.25">
      <c r="B66" s="29">
        <v>49</v>
      </c>
      <c r="C66" s="35" t="s">
        <v>2</v>
      </c>
      <c r="D66" s="36" t="s">
        <v>2</v>
      </c>
    </row>
  </sheetData>
  <mergeCells count="9">
    <mergeCell ref="C9:H9"/>
    <mergeCell ref="C10:H10"/>
    <mergeCell ref="C11:H11"/>
    <mergeCell ref="B2:I2"/>
    <mergeCell ref="E3:F3"/>
    <mergeCell ref="C5:H5"/>
    <mergeCell ref="C6:H6"/>
    <mergeCell ref="C7:H7"/>
    <mergeCell ref="C8:H8"/>
  </mergeCells>
  <phoneticPr fontId="2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A10" sqref="A5:XFD10"/>
    </sheetView>
  </sheetViews>
  <sheetFormatPr baseColWidth="10" defaultRowHeight="23.25" customHeight="1" x14ac:dyDescent="0.2"/>
  <cols>
    <col min="1" max="1" width="4.85546875" style="43" customWidth="1"/>
    <col min="2" max="8" width="11.28515625" style="43" customWidth="1"/>
    <col min="9" max="11" width="10.28515625" style="43" customWidth="1"/>
    <col min="12" max="256" width="11.28515625" style="43" customWidth="1"/>
    <col min="257" max="16384" width="11.42578125" style="43"/>
  </cols>
  <sheetData>
    <row r="1" spans="1:9" s="17" customFormat="1" ht="23.25" customHeight="1" thickBot="1" x14ac:dyDescent="0.25"/>
    <row r="2" spans="1:9" s="18" customFormat="1" ht="27" customHeight="1" thickBot="1" x14ac:dyDescent="0.25">
      <c r="A2" s="17"/>
      <c r="B2" s="55" t="s">
        <v>34</v>
      </c>
      <c r="C2" s="56"/>
      <c r="D2" s="56"/>
      <c r="E2" s="56"/>
      <c r="F2" s="56"/>
      <c r="G2" s="56"/>
      <c r="H2" s="56"/>
      <c r="I2" s="57"/>
    </row>
    <row r="3" spans="1:9" s="19" customFormat="1" ht="27" customHeight="1" thickBot="1" x14ac:dyDescent="0.25">
      <c r="A3" s="18"/>
      <c r="B3" s="18"/>
      <c r="C3" s="18"/>
      <c r="D3" s="18"/>
      <c r="E3" s="58" t="s">
        <v>35</v>
      </c>
      <c r="F3" s="59"/>
    </row>
    <row r="4" spans="1:9" s="19" customFormat="1" ht="6" customHeight="1" x14ac:dyDescent="0.2">
      <c r="A4" s="18"/>
      <c r="B4" s="18"/>
      <c r="C4" s="18"/>
      <c r="D4" s="18"/>
      <c r="E4" s="18"/>
      <c r="F4" s="18"/>
      <c r="G4" s="18"/>
    </row>
    <row r="5" spans="1:9" s="19" customFormat="1" ht="4.5" customHeight="1" x14ac:dyDescent="0.2">
      <c r="A5" s="18"/>
      <c r="B5" s="18"/>
      <c r="C5" s="18"/>
      <c r="D5" s="18"/>
      <c r="E5" s="18"/>
      <c r="F5" s="18"/>
      <c r="G5" s="18"/>
    </row>
    <row r="6" spans="1:9" s="19" customFormat="1" ht="4.5" customHeight="1" x14ac:dyDescent="0.2">
      <c r="A6" s="18"/>
      <c r="B6" s="18"/>
      <c r="C6" s="18"/>
      <c r="D6" s="18"/>
      <c r="E6" s="18"/>
      <c r="F6" s="18"/>
      <c r="G6" s="18"/>
    </row>
    <row r="7" spans="1:9" s="19" customFormat="1" ht="4.5" customHeight="1" x14ac:dyDescent="0.2">
      <c r="A7" s="18"/>
      <c r="B7" s="18"/>
      <c r="C7" s="18"/>
      <c r="D7" s="18"/>
      <c r="E7" s="18"/>
      <c r="F7" s="18"/>
      <c r="G7" s="18"/>
    </row>
    <row r="8" spans="1:9" s="19" customFormat="1" ht="4.5" customHeight="1" x14ac:dyDescent="0.2">
      <c r="A8" s="18"/>
      <c r="B8" s="18"/>
      <c r="C8" s="18"/>
      <c r="D8" s="18"/>
      <c r="E8" s="18"/>
      <c r="F8" s="18"/>
      <c r="G8" s="18"/>
    </row>
    <row r="9" spans="1:9" s="19" customFormat="1" ht="4.5" customHeight="1" x14ac:dyDescent="0.2">
      <c r="A9" s="18"/>
      <c r="B9" s="18"/>
      <c r="C9" s="18"/>
      <c r="D9" s="18"/>
      <c r="E9" s="18"/>
      <c r="F9" s="18"/>
      <c r="G9" s="18"/>
    </row>
    <row r="10" spans="1:9" s="19" customFormat="1" ht="4.5" customHeight="1" x14ac:dyDescent="0.2">
      <c r="A10" s="18"/>
      <c r="B10" s="18"/>
      <c r="C10" s="18"/>
      <c r="D10" s="18"/>
      <c r="E10" s="18"/>
      <c r="F10" s="18"/>
      <c r="G10" s="18"/>
    </row>
    <row r="11" spans="1:9" s="19" customFormat="1" ht="15" customHeight="1" thickBot="1" x14ac:dyDescent="0.25">
      <c r="A11" s="18"/>
      <c r="B11" s="18"/>
      <c r="C11" s="18"/>
      <c r="D11" s="18"/>
      <c r="E11" s="18"/>
      <c r="F11" s="18"/>
      <c r="G11" s="18"/>
    </row>
    <row r="12" spans="1:9" s="20" customFormat="1" ht="23.25" customHeight="1" thickBot="1" x14ac:dyDescent="0.25">
      <c r="B12" s="37" t="s">
        <v>27</v>
      </c>
      <c r="C12" s="52" t="str">
        <f>'DATOS Y RESPUESTAS'!C5:H5</f>
        <v>E.</v>
      </c>
      <c r="D12" s="53"/>
      <c r="E12" s="53"/>
      <c r="F12" s="53"/>
      <c r="G12" s="53"/>
      <c r="H12" s="54"/>
    </row>
    <row r="13" spans="1:9" s="20" customFormat="1" ht="23.25" customHeight="1" thickBot="1" x14ac:dyDescent="0.25">
      <c r="B13" s="38" t="s">
        <v>28</v>
      </c>
      <c r="C13" s="52" t="str">
        <f>'DATOS Y RESPUESTAS'!C6:H6</f>
        <v>E.</v>
      </c>
      <c r="D13" s="53"/>
      <c r="E13" s="53"/>
      <c r="F13" s="53"/>
      <c r="G13" s="53"/>
      <c r="H13" s="54"/>
    </row>
    <row r="14" spans="1:9" s="20" customFormat="1" ht="23.25" customHeight="1" thickBot="1" x14ac:dyDescent="0.25">
      <c r="B14" s="38" t="s">
        <v>29</v>
      </c>
      <c r="C14" s="52" t="str">
        <f>'DATOS Y RESPUESTAS'!C7:H7</f>
        <v>E.</v>
      </c>
      <c r="D14" s="53"/>
      <c r="E14" s="53"/>
      <c r="F14" s="53"/>
      <c r="G14" s="53"/>
      <c r="H14" s="54"/>
    </row>
    <row r="15" spans="1:9" s="20" customFormat="1" ht="23.25" customHeight="1" thickBot="1" x14ac:dyDescent="0.25">
      <c r="B15" s="38" t="s">
        <v>30</v>
      </c>
      <c r="C15" s="52" t="str">
        <f>'DATOS Y RESPUESTAS'!C8:H8</f>
        <v>E.</v>
      </c>
      <c r="D15" s="53"/>
      <c r="E15" s="53"/>
      <c r="F15" s="53"/>
      <c r="G15" s="53"/>
      <c r="H15" s="54"/>
    </row>
    <row r="16" spans="1:9" s="20" customFormat="1" ht="23.25" customHeight="1" thickBot="1" x14ac:dyDescent="0.25">
      <c r="B16" s="38" t="s">
        <v>31</v>
      </c>
      <c r="C16" s="52" t="str">
        <f>'DATOS Y RESPUESTAS'!C9:H9</f>
        <v>E.</v>
      </c>
      <c r="D16" s="53"/>
      <c r="E16" s="53"/>
      <c r="F16" s="53"/>
      <c r="G16" s="53"/>
      <c r="H16" s="54"/>
    </row>
    <row r="17" spans="2:11" s="20" customFormat="1" ht="23.25" customHeight="1" thickBot="1" x14ac:dyDescent="0.25">
      <c r="B17" s="38" t="s">
        <v>32</v>
      </c>
      <c r="C17" s="52" t="str">
        <f>'DATOS Y RESPUESTAS'!C10:H10</f>
        <v>E.</v>
      </c>
      <c r="D17" s="53"/>
      <c r="E17" s="53"/>
      <c r="F17" s="53"/>
      <c r="G17" s="53"/>
      <c r="H17" s="54"/>
    </row>
    <row r="18" spans="2:11" s="20" customFormat="1" ht="23.25" customHeight="1" thickBot="1" x14ac:dyDescent="0.25">
      <c r="B18" s="39" t="s">
        <v>33</v>
      </c>
      <c r="C18" s="52" t="str">
        <f>'DATOS Y RESPUESTAS'!C11:H11</f>
        <v>E.</v>
      </c>
      <c r="D18" s="53"/>
      <c r="E18" s="53"/>
      <c r="F18" s="53"/>
      <c r="G18" s="53"/>
      <c r="H18" s="54"/>
    </row>
    <row r="19" spans="2:11" ht="23.25" customHeight="1" thickBot="1" x14ac:dyDescent="0.25"/>
    <row r="20" spans="2:11" ht="23.25" customHeight="1" thickBot="1" x14ac:dyDescent="0.25">
      <c r="B20" s="40" t="s">
        <v>26</v>
      </c>
      <c r="C20" s="41"/>
      <c r="D20" s="41"/>
      <c r="E20" s="42"/>
      <c r="F20" s="47" t="s">
        <v>50</v>
      </c>
      <c r="G20" s="47" t="s">
        <v>51</v>
      </c>
      <c r="H20" s="47" t="s">
        <v>38</v>
      </c>
      <c r="I20" s="63" t="s">
        <v>55</v>
      </c>
      <c r="J20" s="64"/>
      <c r="K20" s="65"/>
    </row>
    <row r="21" spans="2:11" ht="23.25" customHeight="1" thickBot="1" x14ac:dyDescent="0.25">
      <c r="B21" s="44" t="s">
        <v>5</v>
      </c>
      <c r="C21" s="45"/>
      <c r="D21" s="45"/>
      <c r="E21" s="46"/>
      <c r="F21" s="48">
        <f>RR!K16</f>
        <v>14</v>
      </c>
      <c r="G21" s="48">
        <f>RR!L16</f>
        <v>71</v>
      </c>
      <c r="H21" s="48">
        <f>RR!M16</f>
        <v>99</v>
      </c>
      <c r="I21" s="60" t="str">
        <f>RR!N16</f>
        <v>CLINICAMENTE SIGNIFICATIVA</v>
      </c>
      <c r="J21" s="61"/>
      <c r="K21" s="62"/>
    </row>
    <row r="22" spans="2:11" ht="23.25" customHeight="1" thickBot="1" x14ac:dyDescent="0.25">
      <c r="B22" s="44" t="s">
        <v>6</v>
      </c>
      <c r="C22" s="45"/>
      <c r="D22" s="45"/>
      <c r="E22" s="46"/>
      <c r="F22" s="48">
        <f>RR!K17</f>
        <v>9</v>
      </c>
      <c r="G22" s="48">
        <f>RR!L17</f>
        <v>75</v>
      </c>
      <c r="H22" s="48">
        <f>RR!M17</f>
        <v>99</v>
      </c>
      <c r="I22" s="60" t="str">
        <f>RR!N17</f>
        <v>EXTREMO</v>
      </c>
      <c r="J22" s="61"/>
      <c r="K22" s="62"/>
    </row>
    <row r="23" spans="2:11" ht="23.25" customHeight="1" thickBot="1" x14ac:dyDescent="0.25">
      <c r="B23" s="44" t="s">
        <v>7</v>
      </c>
      <c r="C23" s="45"/>
      <c r="D23" s="45"/>
      <c r="E23" s="46"/>
      <c r="F23" s="48">
        <f>RR!K18</f>
        <v>7</v>
      </c>
      <c r="G23" s="48">
        <f>RR!L18</f>
        <v>72</v>
      </c>
      <c r="H23" s="48">
        <f>RR!M18</f>
        <v>99</v>
      </c>
      <c r="I23" s="60" t="str">
        <f>RR!N18</f>
        <v>CLINICAMENTE SIGNIFICATIVA</v>
      </c>
      <c r="J23" s="61"/>
      <c r="K23" s="62"/>
    </row>
    <row r="24" spans="2:11" ht="6.75" customHeight="1" thickBot="1" x14ac:dyDescent="0.25">
      <c r="I24" s="49"/>
      <c r="J24" s="49"/>
      <c r="K24" s="49"/>
    </row>
    <row r="25" spans="2:11" ht="23.25" customHeight="1" thickBot="1" x14ac:dyDescent="0.25">
      <c r="B25" s="44" t="s">
        <v>9</v>
      </c>
      <c r="C25" s="45"/>
      <c r="D25" s="45"/>
      <c r="E25" s="46"/>
      <c r="F25" s="48">
        <f>RR!K20</f>
        <v>30</v>
      </c>
      <c r="G25" s="48">
        <f>RR!L20</f>
        <v>77</v>
      </c>
      <c r="H25" s="48">
        <f>RR!M20</f>
        <v>99</v>
      </c>
      <c r="I25" s="60" t="str">
        <f>RR!N20</f>
        <v>EXTREMO</v>
      </c>
      <c r="J25" s="61"/>
      <c r="K25" s="62"/>
    </row>
    <row r="26" spans="2:11" ht="8.25" customHeight="1" thickBot="1" x14ac:dyDescent="0.25"/>
    <row r="27" spans="2:11" ht="23.25" customHeight="1" thickBot="1" x14ac:dyDescent="0.25">
      <c r="F27" s="50" t="s">
        <v>50</v>
      </c>
      <c r="G27" s="47" t="s">
        <v>51</v>
      </c>
      <c r="H27" s="47" t="s">
        <v>38</v>
      </c>
      <c r="I27" s="63" t="s">
        <v>55</v>
      </c>
      <c r="J27" s="64"/>
      <c r="K27" s="65"/>
    </row>
    <row r="28" spans="2:11" ht="23.25" customHeight="1" thickBot="1" x14ac:dyDescent="0.25">
      <c r="B28" s="44" t="s">
        <v>8</v>
      </c>
      <c r="C28" s="45"/>
      <c r="D28" s="45"/>
      <c r="E28" s="46"/>
      <c r="F28" s="48">
        <f>RR!K23</f>
        <v>6</v>
      </c>
      <c r="G28" s="48">
        <f>RR!L23</f>
        <v>65</v>
      </c>
      <c r="H28" s="48">
        <f>RR!M23</f>
        <v>93</v>
      </c>
      <c r="I28" s="60" t="str">
        <f>RR!N23</f>
        <v>CLINICAMENTE SIGNIFICATIVA</v>
      </c>
      <c r="J28" s="61"/>
      <c r="K28" s="62"/>
    </row>
    <row r="29" spans="2:11" ht="23.25" customHeight="1" thickBot="1" x14ac:dyDescent="0.25">
      <c r="I29" s="63" t="s">
        <v>56</v>
      </c>
      <c r="J29" s="64"/>
      <c r="K29" s="65"/>
    </row>
    <row r="30" spans="2:11" ht="23.25" customHeight="1" thickBot="1" x14ac:dyDescent="0.25">
      <c r="I30" s="60" t="str">
        <f>RR!O23</f>
        <v>CUESTIONABLE</v>
      </c>
      <c r="J30" s="61"/>
      <c r="K30" s="62"/>
    </row>
    <row r="33" spans="2:3" ht="23.25" customHeight="1" x14ac:dyDescent="0.2">
      <c r="B33" s="51" t="s">
        <v>5</v>
      </c>
      <c r="C33" s="51">
        <f>H21</f>
        <v>99</v>
      </c>
    </row>
    <row r="34" spans="2:3" ht="23.25" customHeight="1" x14ac:dyDescent="0.2">
      <c r="B34" s="51" t="s">
        <v>6</v>
      </c>
      <c r="C34" s="51">
        <f t="shared" ref="C34:C35" si="0">H22</f>
        <v>99</v>
      </c>
    </row>
    <row r="35" spans="2:3" ht="23.25" customHeight="1" x14ac:dyDescent="0.2">
      <c r="B35" s="51" t="s">
        <v>7</v>
      </c>
      <c r="C35" s="51">
        <f t="shared" si="0"/>
        <v>99</v>
      </c>
    </row>
  </sheetData>
  <mergeCells count="18">
    <mergeCell ref="I28:K28"/>
    <mergeCell ref="I30:K30"/>
    <mergeCell ref="I29:K29"/>
    <mergeCell ref="C16:H16"/>
    <mergeCell ref="C17:H17"/>
    <mergeCell ref="C18:H18"/>
    <mergeCell ref="I20:K20"/>
    <mergeCell ref="I27:K27"/>
    <mergeCell ref="I21:K21"/>
    <mergeCell ref="I22:K22"/>
    <mergeCell ref="I23:K23"/>
    <mergeCell ref="I25:K25"/>
    <mergeCell ref="C15:H15"/>
    <mergeCell ref="B2:I2"/>
    <mergeCell ref="E3:F3"/>
    <mergeCell ref="C12:H12"/>
    <mergeCell ref="C13:H13"/>
    <mergeCell ref="C14:H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18"/>
  <sheetViews>
    <sheetView topLeftCell="H14" zoomScale="70" workbookViewId="0">
      <selection activeCell="I14" sqref="I14"/>
    </sheetView>
  </sheetViews>
  <sheetFormatPr baseColWidth="10" defaultRowHeight="12.75" x14ac:dyDescent="0.2"/>
  <cols>
    <col min="1" max="7" width="11.42578125" style="6" hidden="1" customWidth="1"/>
    <col min="8" max="8" width="3.42578125" style="6" customWidth="1"/>
    <col min="9" max="9" width="45.42578125" style="6" customWidth="1"/>
    <col min="10" max="10" width="11.42578125" style="6" hidden="1" customWidth="1"/>
    <col min="11" max="11" width="22.42578125" style="6" customWidth="1"/>
    <col min="12" max="12" width="15.85546875" style="6" customWidth="1"/>
    <col min="13" max="13" width="11.42578125" style="8"/>
    <col min="14" max="14" width="34" style="8" customWidth="1"/>
    <col min="15" max="15" width="37.28515625" style="8" customWidth="1"/>
    <col min="16" max="21" width="11.42578125" style="6" hidden="1" customWidth="1"/>
    <col min="22" max="22" width="0" style="6" hidden="1" customWidth="1"/>
    <col min="23" max="23" width="38.28515625" style="6" bestFit="1" customWidth="1"/>
    <col min="24" max="25" width="11.42578125" style="6"/>
    <col min="26" max="26" width="38.28515625" style="6" bestFit="1" customWidth="1"/>
    <col min="27" max="31" width="11.42578125" style="6"/>
    <col min="32" max="33" width="0" style="6" hidden="1" customWidth="1"/>
    <col min="34" max="66" width="0" style="3" hidden="1" customWidth="1"/>
    <col min="67" max="77" width="0" style="6" hidden="1" customWidth="1"/>
    <col min="78" max="16384" width="11.42578125" style="6"/>
  </cols>
  <sheetData>
    <row r="1" spans="1:66" s="3" customFormat="1" hidden="1" x14ac:dyDescent="0.2">
      <c r="M1" s="11"/>
      <c r="N1" s="11"/>
      <c r="O1" s="11"/>
    </row>
    <row r="2" spans="1:66" s="3" customFormat="1" hidden="1" x14ac:dyDescent="0.2">
      <c r="M2" s="11"/>
      <c r="N2" s="11"/>
      <c r="O2" s="11"/>
    </row>
    <row r="3" spans="1:66" s="3" customFormat="1" hidden="1" x14ac:dyDescent="0.2">
      <c r="M3" s="11"/>
      <c r="N3" s="11"/>
      <c r="O3" s="11"/>
    </row>
    <row r="4" spans="1:66" s="3" customFormat="1" hidden="1" x14ac:dyDescent="0.2">
      <c r="M4" s="11"/>
      <c r="N4" s="11"/>
      <c r="O4" s="11"/>
    </row>
    <row r="5" spans="1:66" s="3" customFormat="1" hidden="1" x14ac:dyDescent="0.2">
      <c r="A5" s="3">
        <f>IF('DATOS Y RESPUESTAS'!C13="a",1,0)</f>
        <v>1</v>
      </c>
      <c r="B5" s="3">
        <f>IF('DATOS Y RESPUESTAS'!C13="c",2,0)</f>
        <v>0</v>
      </c>
      <c r="C5" s="3">
        <f>IF('DATOS Y RESPUESTAS'!C13="e",3,0)</f>
        <v>0</v>
      </c>
      <c r="E5" s="3">
        <f>SUM(A5:C5)</f>
        <v>1</v>
      </c>
      <c r="M5" s="11"/>
      <c r="N5" s="11"/>
      <c r="O5" s="11"/>
    </row>
    <row r="6" spans="1:66" s="3" customFormat="1" hidden="1" x14ac:dyDescent="0.2">
      <c r="M6" s="11"/>
      <c r="N6" s="11"/>
      <c r="O6" s="11"/>
    </row>
    <row r="7" spans="1:66" s="3" customFormat="1" hidden="1" x14ac:dyDescent="0.2">
      <c r="M7" s="11"/>
      <c r="N7" s="11"/>
      <c r="O7" s="11"/>
    </row>
    <row r="8" spans="1:66" s="3" customFormat="1" hidden="1" x14ac:dyDescent="0.2">
      <c r="M8" s="11"/>
      <c r="N8" s="11"/>
      <c r="O8" s="11"/>
    </row>
    <row r="9" spans="1:66" s="3" customFormat="1" hidden="1" x14ac:dyDescent="0.2">
      <c r="M9" s="11"/>
      <c r="N9" s="11"/>
      <c r="O9" s="11"/>
    </row>
    <row r="10" spans="1:66" s="3" customFormat="1" hidden="1" x14ac:dyDescent="0.2">
      <c r="M10" s="11"/>
      <c r="N10" s="11"/>
      <c r="O10" s="11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</row>
    <row r="11" spans="1:66" s="3" customFormat="1" hidden="1" x14ac:dyDescent="0.2">
      <c r="B11" s="3">
        <v>1</v>
      </c>
      <c r="C11" s="3">
        <f>IF('DATOS Y RESPUESTAS'!C18="x",1,0)</f>
        <v>1</v>
      </c>
      <c r="M11" s="11"/>
      <c r="N11" s="11"/>
      <c r="O11" s="11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66" s="3" customFormat="1" hidden="1" x14ac:dyDescent="0.2">
      <c r="B12" s="3">
        <v>2</v>
      </c>
      <c r="C12" s="3">
        <f>IF('DATOS Y RESPUESTAS'!C19="x",1,0)</f>
        <v>1</v>
      </c>
      <c r="M12" s="11"/>
      <c r="N12" s="11"/>
      <c r="O12" s="11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66" s="3" customFormat="1" hidden="1" x14ac:dyDescent="0.2">
      <c r="B13" s="3">
        <v>3</v>
      </c>
      <c r="C13" s="3">
        <f>IF('DATOS Y RESPUESTAS'!C20="x",1,0)</f>
        <v>1</v>
      </c>
      <c r="E13" s="3" t="s">
        <v>3</v>
      </c>
      <c r="F13" s="3" t="s">
        <v>4</v>
      </c>
      <c r="M13" s="11"/>
      <c r="N13" s="11"/>
      <c r="O13" s="11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</row>
    <row r="14" spans="1:66" s="3" customFormat="1" x14ac:dyDescent="0.2">
      <c r="B14" s="3">
        <v>4</v>
      </c>
      <c r="C14" s="3">
        <f>IF('DATOS Y RESPUESTAS'!C21="x",1,0)</f>
        <v>1</v>
      </c>
      <c r="M14" s="11"/>
      <c r="N14" s="11"/>
      <c r="O14" s="11"/>
      <c r="W14" s="1"/>
      <c r="X14" s="1"/>
      <c r="Y14" s="1"/>
      <c r="Z14" s="1"/>
      <c r="AA14" s="1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</row>
    <row r="15" spans="1:66" x14ac:dyDescent="0.2">
      <c r="A15" s="3"/>
      <c r="B15" s="3">
        <v>5</v>
      </c>
      <c r="C15" s="3">
        <f>IF('DATOS Y RESPUESTAS'!C22="x",1,0)</f>
        <v>1</v>
      </c>
      <c r="D15" s="3"/>
      <c r="E15" s="3" t="s">
        <v>5</v>
      </c>
      <c r="F15" s="3"/>
      <c r="G15" s="3"/>
      <c r="H15" s="3"/>
      <c r="I15" s="4" t="s">
        <v>26</v>
      </c>
      <c r="J15" s="4"/>
      <c r="K15" s="5" t="str">
        <f t="shared" ref="K15:L20" si="0">R15</f>
        <v>Puntuación Directa</v>
      </c>
      <c r="L15" s="5" t="str">
        <f t="shared" si="0"/>
        <v>Puntuación T</v>
      </c>
      <c r="M15" s="2" t="s">
        <v>38</v>
      </c>
      <c r="N15" s="2" t="s">
        <v>48</v>
      </c>
      <c r="R15" s="6" t="s">
        <v>22</v>
      </c>
      <c r="S15" s="6" t="s">
        <v>23</v>
      </c>
      <c r="T15" s="6" t="s">
        <v>38</v>
      </c>
      <c r="U15" s="6" t="s">
        <v>24</v>
      </c>
      <c r="W15" s="1" t="s">
        <v>49</v>
      </c>
      <c r="X15" s="1">
        <v>1</v>
      </c>
      <c r="Y15" s="1"/>
      <c r="Z15" s="1" t="str">
        <f>W15</f>
        <v xml:space="preserve">   </v>
      </c>
      <c r="AA15" s="1">
        <f t="shared" ref="Z15:AA19" si="1">X15</f>
        <v>1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66" x14ac:dyDescent="0.2">
      <c r="B16" s="6">
        <v>6</v>
      </c>
      <c r="C16" s="6">
        <f>IF('DATOS Y RESPUESTAS'!C23="x",1,0)</f>
        <v>1</v>
      </c>
      <c r="E16" s="6" t="s">
        <v>6</v>
      </c>
      <c r="I16" s="4" t="str">
        <f>P16</f>
        <v>INQUIETUD/HIPERSENSIBILIDAD</v>
      </c>
      <c r="J16" s="7"/>
      <c r="K16" s="7">
        <f t="shared" si="0"/>
        <v>14</v>
      </c>
      <c r="L16" s="7">
        <f t="shared" si="0"/>
        <v>71</v>
      </c>
      <c r="M16" s="7">
        <f>T16</f>
        <v>99</v>
      </c>
      <c r="N16" s="7" t="str">
        <f>U16</f>
        <v>CLINICAMENTE SIGNIFICATIVA</v>
      </c>
      <c r="P16" s="6" t="str">
        <f>E15</f>
        <v>INQUIETUD/HIPERSENSIBILIDAD</v>
      </c>
      <c r="R16" s="6">
        <f>LOOKUP(E5,S35:S37,V35:V37)</f>
        <v>14</v>
      </c>
      <c r="S16" s="6">
        <f>LOOKUP(E5,S41:S43,V41:V43)</f>
        <v>71</v>
      </c>
      <c r="T16" s="6">
        <f>LOOKUP(E5,S45:S47,V45:V47)</f>
        <v>99</v>
      </c>
      <c r="U16" s="6" t="str">
        <f>LOOKUP(S16,BP19:BQ118)</f>
        <v>CLINICAMENTE SIGNIFICATIVA</v>
      </c>
      <c r="W16" s="1" t="str">
        <f>P20</f>
        <v>ANSIEDAD TOTAL</v>
      </c>
      <c r="X16" s="1">
        <f>T20</f>
        <v>99</v>
      </c>
      <c r="Y16" s="1"/>
      <c r="Z16" s="1" t="str">
        <f t="shared" si="1"/>
        <v>ANSIEDAD TOTAL</v>
      </c>
      <c r="AA16" s="1">
        <f>X16</f>
        <v>99</v>
      </c>
      <c r="AH16" s="9"/>
      <c r="AI16" s="9" t="s">
        <v>4</v>
      </c>
      <c r="AJ16" s="9"/>
      <c r="AK16" s="9"/>
      <c r="AL16" s="9"/>
      <c r="AM16" s="9"/>
      <c r="AN16" s="9"/>
      <c r="AO16" s="9"/>
      <c r="AP16" s="9"/>
      <c r="AQ16" s="9"/>
      <c r="AR16" s="9"/>
      <c r="AS16" s="9" t="s">
        <v>11</v>
      </c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 t="s">
        <v>13</v>
      </c>
      <c r="BF16" s="9"/>
      <c r="BG16" s="9"/>
      <c r="BH16" s="9"/>
      <c r="BI16" s="9"/>
      <c r="BJ16" s="9"/>
      <c r="BK16" s="9"/>
      <c r="BL16" s="9"/>
      <c r="BM16" s="9"/>
      <c r="BN16" s="9"/>
    </row>
    <row r="17" spans="2:70" x14ac:dyDescent="0.2">
      <c r="B17" s="6">
        <v>7</v>
      </c>
      <c r="C17" s="6">
        <f>IF('DATOS Y RESPUESTAS'!C24="x",1,0)</f>
        <v>1</v>
      </c>
      <c r="E17" s="6" t="s">
        <v>7</v>
      </c>
      <c r="I17" s="4" t="str">
        <f>P17</f>
        <v>ANSIEDAD FISIOLOGICA</v>
      </c>
      <c r="J17" s="7"/>
      <c r="K17" s="7">
        <f t="shared" si="0"/>
        <v>9</v>
      </c>
      <c r="L17" s="7">
        <f t="shared" si="0"/>
        <v>75</v>
      </c>
      <c r="M17" s="7">
        <f t="shared" ref="M17:N20" si="2">T17</f>
        <v>99</v>
      </c>
      <c r="N17" s="7" t="str">
        <f t="shared" si="2"/>
        <v>EXTREMO</v>
      </c>
      <c r="P17" s="6" t="str">
        <f>E16</f>
        <v>ANSIEDAD FISIOLOGICA</v>
      </c>
      <c r="R17" s="6">
        <f>LOOKUP(E5,S35:S37,W35:W37)</f>
        <v>9</v>
      </c>
      <c r="S17" s="6">
        <f>LOOKUP(E5,S41:S43,W41:W43)</f>
        <v>75</v>
      </c>
      <c r="T17" s="6">
        <f>LOOKUP(E5,S45:S47,W45:W47)</f>
        <v>99</v>
      </c>
      <c r="U17" s="6" t="str">
        <f>LOOKUP(S17,BP19:BQ118)</f>
        <v>EXTREMO</v>
      </c>
      <c r="W17" s="1" t="str">
        <f>P16</f>
        <v>INQUIETUD/HIPERSENSIBILIDAD</v>
      </c>
      <c r="X17" s="1">
        <f>T16</f>
        <v>99</v>
      </c>
      <c r="Y17" s="1"/>
      <c r="Z17" s="1" t="str">
        <f t="shared" si="1"/>
        <v>INQUIETUD/HIPERSENSIBILIDAD</v>
      </c>
      <c r="AA17" s="1">
        <f t="shared" si="1"/>
        <v>99</v>
      </c>
      <c r="AH17" s="9"/>
      <c r="AI17" s="9" t="s">
        <v>17</v>
      </c>
      <c r="AJ17" s="9"/>
      <c r="AK17" s="9" t="s">
        <v>18</v>
      </c>
      <c r="AL17" s="9"/>
      <c r="AM17" s="9" t="s">
        <v>19</v>
      </c>
      <c r="AN17" s="9"/>
      <c r="AO17" s="9" t="s">
        <v>8</v>
      </c>
      <c r="AP17" s="9"/>
      <c r="AQ17" s="9" t="s">
        <v>20</v>
      </c>
      <c r="AR17" s="9"/>
      <c r="AS17" s="9" t="s">
        <v>17</v>
      </c>
      <c r="AT17" s="9"/>
      <c r="AU17" s="9" t="s">
        <v>18</v>
      </c>
      <c r="AV17" s="9"/>
      <c r="AW17" s="9" t="s">
        <v>19</v>
      </c>
      <c r="AX17" s="9"/>
      <c r="AY17" s="9" t="s">
        <v>21</v>
      </c>
      <c r="AZ17" s="9"/>
      <c r="BA17" s="9" t="s">
        <v>8</v>
      </c>
      <c r="BB17" s="9"/>
      <c r="BC17" s="9" t="s">
        <v>20</v>
      </c>
      <c r="BD17" s="9"/>
      <c r="BE17" s="9" t="s">
        <v>17</v>
      </c>
      <c r="BF17" s="9"/>
      <c r="BG17" s="9" t="s">
        <v>18</v>
      </c>
      <c r="BH17" s="9"/>
      <c r="BI17" s="9" t="s">
        <v>19</v>
      </c>
      <c r="BJ17" s="9"/>
      <c r="BK17" s="9" t="s">
        <v>8</v>
      </c>
      <c r="BL17" s="9"/>
      <c r="BM17" s="9" t="s">
        <v>20</v>
      </c>
      <c r="BN17" s="9"/>
    </row>
    <row r="18" spans="2:70" x14ac:dyDescent="0.2">
      <c r="B18" s="6">
        <v>8</v>
      </c>
      <c r="C18" s="6">
        <f>IF('DATOS Y RESPUESTAS'!C25="x",1,0)</f>
        <v>1</v>
      </c>
      <c r="E18" s="6" t="s">
        <v>15</v>
      </c>
      <c r="I18" s="4" t="str">
        <f>P18</f>
        <v>PREOCUPACIONES SOCIALES/ESTRÉS</v>
      </c>
      <c r="J18" s="7"/>
      <c r="K18" s="7">
        <f t="shared" si="0"/>
        <v>7</v>
      </c>
      <c r="L18" s="7">
        <f t="shared" si="0"/>
        <v>72</v>
      </c>
      <c r="M18" s="7">
        <f t="shared" si="2"/>
        <v>99</v>
      </c>
      <c r="N18" s="7" t="str">
        <f t="shared" si="2"/>
        <v>CLINICAMENTE SIGNIFICATIVA</v>
      </c>
      <c r="P18" s="6" t="str">
        <f>LOOKUP(E5,P29:Q31)</f>
        <v>PREOCUPACIONES SOCIALES/ESTRÉS</v>
      </c>
      <c r="R18" s="6">
        <f>LOOKUP(E5,S35:S37,X35:X37)</f>
        <v>7</v>
      </c>
      <c r="S18" s="6">
        <f>LOOKUP(E5,S41:S43,X41:X43)</f>
        <v>72</v>
      </c>
      <c r="T18" s="6">
        <f>LOOKUP(E5,S45:S47,X45:X47)</f>
        <v>99</v>
      </c>
      <c r="U18" s="6" t="str">
        <f>LOOKUP(S18,BP19:BQ118)</f>
        <v>CLINICAMENTE SIGNIFICATIVA</v>
      </c>
      <c r="W18" s="1" t="str">
        <f>P17</f>
        <v>ANSIEDAD FISIOLOGICA</v>
      </c>
      <c r="X18" s="1">
        <f>T17</f>
        <v>99</v>
      </c>
      <c r="Y18" s="1"/>
      <c r="Z18" s="1" t="str">
        <f t="shared" si="1"/>
        <v>ANSIEDAD FISIOLOGICA</v>
      </c>
      <c r="AA18" s="1">
        <f t="shared" si="1"/>
        <v>99</v>
      </c>
      <c r="AH18" s="9"/>
      <c r="AI18" s="9">
        <v>1</v>
      </c>
      <c r="AJ18" s="9"/>
      <c r="AK18" s="9">
        <v>2</v>
      </c>
      <c r="AL18" s="9"/>
      <c r="AM18" s="9">
        <v>3</v>
      </c>
      <c r="AN18" s="9"/>
      <c r="AO18" s="9">
        <v>5</v>
      </c>
      <c r="AP18" s="9"/>
      <c r="AQ18" s="9">
        <v>6</v>
      </c>
      <c r="AR18" s="9"/>
      <c r="AS18" s="9">
        <v>1</v>
      </c>
      <c r="AT18" s="9"/>
      <c r="AU18" s="9">
        <v>2</v>
      </c>
      <c r="AV18" s="9"/>
      <c r="AW18" s="9">
        <v>3</v>
      </c>
      <c r="AX18" s="9"/>
      <c r="AY18" s="9">
        <v>4</v>
      </c>
      <c r="AZ18" s="9"/>
      <c r="BA18" s="9">
        <v>5</v>
      </c>
      <c r="BB18" s="9"/>
      <c r="BC18" s="9">
        <v>6</v>
      </c>
      <c r="BD18" s="9"/>
      <c r="BE18" s="9">
        <v>1</v>
      </c>
      <c r="BF18" s="9"/>
      <c r="BG18" s="9">
        <v>2</v>
      </c>
      <c r="BH18" s="9"/>
      <c r="BI18" s="9">
        <v>3</v>
      </c>
      <c r="BJ18" s="9"/>
      <c r="BK18" s="9">
        <v>5</v>
      </c>
      <c r="BL18" s="9"/>
      <c r="BM18" s="9">
        <v>6</v>
      </c>
      <c r="BN18" s="9"/>
    </row>
    <row r="19" spans="2:70" x14ac:dyDescent="0.2">
      <c r="B19" s="6">
        <v>9</v>
      </c>
      <c r="C19" s="6">
        <f>IF('DATOS Y RESPUESTAS'!C26="x",1,0)</f>
        <v>1</v>
      </c>
      <c r="E19" s="6" t="s">
        <v>8</v>
      </c>
      <c r="I19" s="4" t="str">
        <f>P19</f>
        <v>-</v>
      </c>
      <c r="J19" s="7"/>
      <c r="K19" s="7" t="str">
        <f t="shared" si="0"/>
        <v>-</v>
      </c>
      <c r="L19" s="7" t="str">
        <f t="shared" si="0"/>
        <v>-</v>
      </c>
      <c r="M19" s="7" t="str">
        <f t="shared" si="2"/>
        <v>-</v>
      </c>
      <c r="N19" s="7" t="str">
        <f>U19</f>
        <v>-</v>
      </c>
      <c r="P19" s="6" t="str">
        <f>LOOKUP(E5,P29:P31,R29:R31)</f>
        <v>-</v>
      </c>
      <c r="R19" s="6" t="str">
        <f>LOOKUP(E5,S35:S37,Y35:Y37)</f>
        <v>-</v>
      </c>
      <c r="S19" s="6" t="str">
        <f>LOOKUP(E5,S41:S43,Y41:Y43)</f>
        <v>-</v>
      </c>
      <c r="T19" s="6" t="str">
        <f>LOOKUP(E5,S45:S47,Y45:Y47)</f>
        <v>-</v>
      </c>
      <c r="U19" s="6" t="str">
        <f>IF(E5=2,LOOKUP(S19,BP19:BQ118),"-")</f>
        <v>-</v>
      </c>
      <c r="W19" s="1" t="str">
        <f>P18</f>
        <v>PREOCUPACIONES SOCIALES/ESTRÉS</v>
      </c>
      <c r="X19" s="1">
        <f>T18</f>
        <v>99</v>
      </c>
      <c r="Y19" s="1"/>
      <c r="Z19" s="1" t="str">
        <f t="shared" si="1"/>
        <v>PREOCUPACIONES SOCIALES/ESTRÉS</v>
      </c>
      <c r="AA19" s="1">
        <f t="shared" si="1"/>
        <v>99</v>
      </c>
      <c r="AH19" s="9">
        <v>0</v>
      </c>
      <c r="AI19" s="9">
        <v>30</v>
      </c>
      <c r="AJ19" s="9">
        <v>1</v>
      </c>
      <c r="AK19" s="9">
        <v>39</v>
      </c>
      <c r="AL19" s="9">
        <v>11</v>
      </c>
      <c r="AM19" s="9">
        <v>34</v>
      </c>
      <c r="AN19" s="9">
        <v>4</v>
      </c>
      <c r="AO19" s="9">
        <v>35</v>
      </c>
      <c r="AP19" s="9">
        <v>8</v>
      </c>
      <c r="AQ19" s="9">
        <v>31</v>
      </c>
      <c r="AR19" s="9">
        <v>0</v>
      </c>
      <c r="AS19" s="9">
        <v>28</v>
      </c>
      <c r="AT19" s="9">
        <v>1</v>
      </c>
      <c r="AU19" s="9">
        <v>39</v>
      </c>
      <c r="AV19" s="9">
        <v>12</v>
      </c>
      <c r="AW19" s="9">
        <v>40</v>
      </c>
      <c r="AX19" s="9">
        <v>16</v>
      </c>
      <c r="AY19" s="9">
        <v>37</v>
      </c>
      <c r="AZ19" s="9">
        <v>5</v>
      </c>
      <c r="BA19" s="9">
        <v>35</v>
      </c>
      <c r="BB19" s="9">
        <v>7</v>
      </c>
      <c r="BC19" s="9">
        <v>32</v>
      </c>
      <c r="BD19" s="9">
        <v>0</v>
      </c>
      <c r="BE19" s="9">
        <v>31</v>
      </c>
      <c r="BF19" s="9">
        <v>0</v>
      </c>
      <c r="BG19" s="9">
        <v>31</v>
      </c>
      <c r="BH19" s="9">
        <v>3</v>
      </c>
      <c r="BI19" s="9">
        <v>25</v>
      </c>
      <c r="BJ19" s="9">
        <v>2</v>
      </c>
      <c r="BK19" s="9">
        <v>31</v>
      </c>
      <c r="BL19" s="9">
        <v>4</v>
      </c>
      <c r="BM19" s="9">
        <v>27</v>
      </c>
      <c r="BN19" s="9">
        <v>1</v>
      </c>
      <c r="BP19" s="6">
        <v>1</v>
      </c>
      <c r="BQ19" s="6" t="s">
        <v>40</v>
      </c>
      <c r="BR19" s="6" t="s">
        <v>45</v>
      </c>
    </row>
    <row r="20" spans="2:70" x14ac:dyDescent="0.2">
      <c r="B20" s="6">
        <v>10</v>
      </c>
      <c r="C20" s="6">
        <f>IF('DATOS Y RESPUESTAS'!C27="x",1,0)</f>
        <v>1</v>
      </c>
      <c r="E20" s="6" t="s">
        <v>9</v>
      </c>
      <c r="I20" s="4" t="str">
        <f>P20</f>
        <v>ANSIEDAD TOTAL</v>
      </c>
      <c r="J20" s="7"/>
      <c r="K20" s="7">
        <f t="shared" si="0"/>
        <v>30</v>
      </c>
      <c r="L20" s="7">
        <f t="shared" si="0"/>
        <v>77</v>
      </c>
      <c r="M20" s="7">
        <f t="shared" si="2"/>
        <v>99</v>
      </c>
      <c r="N20" s="7" t="str">
        <f>U20</f>
        <v>EXTREMO</v>
      </c>
      <c r="P20" s="6" t="s">
        <v>9</v>
      </c>
      <c r="R20" s="6">
        <f>LOOKUP(E5,S35:S37,AA35:AA37)</f>
        <v>30</v>
      </c>
      <c r="S20" s="6">
        <f>LOOKUP(E5,S41:S43,AA41:AA43)</f>
        <v>77</v>
      </c>
      <c r="T20" s="6">
        <f>LOOKUP(E5,S45:S47,AA45:AA47)</f>
        <v>99</v>
      </c>
      <c r="U20" s="6" t="str">
        <f>LOOKUP(S20,BP19:BQ118)</f>
        <v>EXTREMO</v>
      </c>
      <c r="W20" s="1" t="str">
        <f>P19</f>
        <v>-</v>
      </c>
      <c r="X20" s="1" t="str">
        <f>S19</f>
        <v>-</v>
      </c>
      <c r="Y20" s="1"/>
      <c r="Z20" s="1" t="s">
        <v>25</v>
      </c>
      <c r="AA20" s="1">
        <v>99</v>
      </c>
      <c r="AH20" s="9">
        <v>1</v>
      </c>
      <c r="AI20" s="9">
        <v>33</v>
      </c>
      <c r="AJ20" s="6">
        <v>4</v>
      </c>
      <c r="AK20" s="9">
        <v>43</v>
      </c>
      <c r="AL20" s="9">
        <v>30</v>
      </c>
      <c r="AM20" s="9">
        <v>40</v>
      </c>
      <c r="AN20" s="9">
        <v>16</v>
      </c>
      <c r="AO20" s="9">
        <v>40</v>
      </c>
      <c r="AP20" s="9">
        <v>22</v>
      </c>
      <c r="AQ20" s="9">
        <v>33</v>
      </c>
      <c r="AR20" s="9">
        <v>1</v>
      </c>
      <c r="AS20" s="9">
        <v>32</v>
      </c>
      <c r="AT20" s="9">
        <v>4</v>
      </c>
      <c r="AU20" s="9">
        <v>44</v>
      </c>
      <c r="AV20" s="9">
        <v>34</v>
      </c>
      <c r="AW20" s="9">
        <v>46</v>
      </c>
      <c r="AX20" s="9">
        <v>44</v>
      </c>
      <c r="AY20" s="9">
        <v>40</v>
      </c>
      <c r="AZ20" s="9">
        <v>15</v>
      </c>
      <c r="BA20" s="9">
        <v>40</v>
      </c>
      <c r="BB20" s="9">
        <v>20</v>
      </c>
      <c r="BC20" s="9">
        <v>33</v>
      </c>
      <c r="BD20" s="9">
        <v>1</v>
      </c>
      <c r="BE20" s="9">
        <v>32</v>
      </c>
      <c r="BF20" s="9">
        <v>2</v>
      </c>
      <c r="BG20" s="9">
        <v>36</v>
      </c>
      <c r="BH20" s="9">
        <v>11</v>
      </c>
      <c r="BI20" s="9">
        <v>30</v>
      </c>
      <c r="BJ20" s="9">
        <v>5</v>
      </c>
      <c r="BK20" s="9">
        <v>36</v>
      </c>
      <c r="BL20" s="9">
        <v>13</v>
      </c>
      <c r="BM20" s="9">
        <v>28</v>
      </c>
      <c r="BN20" s="9">
        <v>1</v>
      </c>
      <c r="BP20" s="6">
        <v>2</v>
      </c>
      <c r="BQ20" s="6" t="s">
        <v>40</v>
      </c>
      <c r="BR20" s="6" t="s">
        <v>45</v>
      </c>
    </row>
    <row r="21" spans="2:70" x14ac:dyDescent="0.2">
      <c r="B21" s="6">
        <v>11</v>
      </c>
      <c r="C21" s="6">
        <f>IF('DATOS Y RESPUESTAS'!C28="x",1,0)</f>
        <v>1</v>
      </c>
      <c r="W21" s="1" t="s">
        <v>25</v>
      </c>
      <c r="X21" s="1">
        <v>99</v>
      </c>
      <c r="Y21" s="1"/>
      <c r="Z21" s="1"/>
      <c r="AA21" s="1"/>
      <c r="AH21" s="9">
        <v>2</v>
      </c>
      <c r="AI21" s="9">
        <v>36</v>
      </c>
      <c r="AJ21" s="9">
        <v>8</v>
      </c>
      <c r="AK21" s="9">
        <v>47</v>
      </c>
      <c r="AL21" s="9">
        <v>45</v>
      </c>
      <c r="AM21" s="9">
        <v>45</v>
      </c>
      <c r="AN21" s="9">
        <v>36</v>
      </c>
      <c r="AO21" s="9">
        <v>45</v>
      </c>
      <c r="AP21" s="9">
        <v>35</v>
      </c>
      <c r="AQ21" s="9">
        <v>34</v>
      </c>
      <c r="AR21" s="9">
        <v>3</v>
      </c>
      <c r="AS21" s="9">
        <v>36</v>
      </c>
      <c r="AT21" s="9">
        <v>8</v>
      </c>
      <c r="AU21" s="9">
        <v>48</v>
      </c>
      <c r="AV21" s="9">
        <v>52</v>
      </c>
      <c r="AW21" s="9">
        <v>52</v>
      </c>
      <c r="AX21" s="9">
        <v>65</v>
      </c>
      <c r="AY21" s="9">
        <v>42</v>
      </c>
      <c r="AZ21" s="9">
        <v>27</v>
      </c>
      <c r="BA21" s="9">
        <v>44</v>
      </c>
      <c r="BB21" s="9">
        <v>34</v>
      </c>
      <c r="BC21" s="9">
        <v>34</v>
      </c>
      <c r="BD21" s="9">
        <v>2</v>
      </c>
      <c r="BE21" s="9">
        <v>34</v>
      </c>
      <c r="BF21" s="9">
        <v>4</v>
      </c>
      <c r="BG21" s="9">
        <v>42</v>
      </c>
      <c r="BH21" s="9">
        <v>23</v>
      </c>
      <c r="BI21" s="9">
        <v>35</v>
      </c>
      <c r="BJ21" s="9">
        <v>11</v>
      </c>
      <c r="BK21" s="9">
        <v>40</v>
      </c>
      <c r="BL21" s="9">
        <v>21</v>
      </c>
      <c r="BM21" s="9">
        <v>30</v>
      </c>
      <c r="BN21" s="9">
        <v>1</v>
      </c>
      <c r="BP21" s="6">
        <v>3</v>
      </c>
      <c r="BQ21" s="6" t="s">
        <v>40</v>
      </c>
      <c r="BR21" s="6" t="s">
        <v>45</v>
      </c>
    </row>
    <row r="22" spans="2:70" x14ac:dyDescent="0.2">
      <c r="B22" s="6">
        <v>12</v>
      </c>
      <c r="C22" s="6">
        <f>IF('DATOS Y RESPUESTAS'!C29="x",1,0)</f>
        <v>1</v>
      </c>
      <c r="E22" s="6" t="s">
        <v>10</v>
      </c>
      <c r="F22" s="6" t="s">
        <v>11</v>
      </c>
      <c r="K22" s="5" t="str">
        <f>R22</f>
        <v>Puntuación Directa</v>
      </c>
      <c r="L22" s="5" t="str">
        <f>S22</f>
        <v>Puntuación T</v>
      </c>
      <c r="M22" s="2" t="s">
        <v>38</v>
      </c>
      <c r="N22" s="2" t="s">
        <v>48</v>
      </c>
      <c r="O22" s="2" t="s">
        <v>39</v>
      </c>
      <c r="R22" s="6" t="s">
        <v>22</v>
      </c>
      <c r="S22" s="6" t="s">
        <v>23</v>
      </c>
      <c r="T22" s="6" t="s">
        <v>38</v>
      </c>
      <c r="U22" s="6" t="s">
        <v>24</v>
      </c>
      <c r="V22" s="6" t="s">
        <v>39</v>
      </c>
      <c r="AH22" s="9">
        <v>3</v>
      </c>
      <c r="AI22" s="9">
        <v>39</v>
      </c>
      <c r="AJ22" s="9">
        <v>15</v>
      </c>
      <c r="AK22" s="9">
        <v>51</v>
      </c>
      <c r="AL22" s="9">
        <v>58</v>
      </c>
      <c r="AM22" s="9">
        <v>51</v>
      </c>
      <c r="AN22" s="9">
        <v>57</v>
      </c>
      <c r="AO22" s="9">
        <v>50</v>
      </c>
      <c r="AP22" s="9">
        <v>49</v>
      </c>
      <c r="AQ22" s="9">
        <v>36</v>
      </c>
      <c r="AR22" s="9">
        <v>6</v>
      </c>
      <c r="AS22" s="9">
        <v>39</v>
      </c>
      <c r="AT22" s="9">
        <v>16</v>
      </c>
      <c r="AU22" s="9">
        <v>53</v>
      </c>
      <c r="AV22" s="9">
        <v>67</v>
      </c>
      <c r="AW22" s="9">
        <v>58</v>
      </c>
      <c r="AX22" s="9">
        <v>79</v>
      </c>
      <c r="AY22" s="9">
        <v>45</v>
      </c>
      <c r="AZ22" s="9">
        <v>38</v>
      </c>
      <c r="BA22" s="9">
        <v>49</v>
      </c>
      <c r="BB22" s="9">
        <v>49</v>
      </c>
      <c r="BC22" s="9">
        <v>35</v>
      </c>
      <c r="BD22" s="9">
        <v>4</v>
      </c>
      <c r="BE22" s="9">
        <v>36</v>
      </c>
      <c r="BF22" s="9">
        <v>8</v>
      </c>
      <c r="BG22" s="9">
        <v>47</v>
      </c>
      <c r="BH22" s="9">
        <v>37</v>
      </c>
      <c r="BI22" s="9">
        <v>40</v>
      </c>
      <c r="BJ22" s="9">
        <v>19</v>
      </c>
      <c r="BK22" s="9">
        <v>45</v>
      </c>
      <c r="BL22" s="9">
        <v>30</v>
      </c>
      <c r="BM22" s="9">
        <v>31</v>
      </c>
      <c r="BN22" s="9">
        <v>2</v>
      </c>
      <c r="BP22" s="6">
        <v>4</v>
      </c>
      <c r="BQ22" s="6" t="s">
        <v>40</v>
      </c>
      <c r="BR22" s="6" t="s">
        <v>45</v>
      </c>
    </row>
    <row r="23" spans="2:70" x14ac:dyDescent="0.2">
      <c r="B23" s="6">
        <v>13</v>
      </c>
      <c r="C23" s="6">
        <f>IF('DATOS Y RESPUESTAS'!C30="x",1,0)</f>
        <v>1</v>
      </c>
      <c r="I23" s="4" t="str">
        <f>P23</f>
        <v>MENTIRA</v>
      </c>
      <c r="J23" s="7"/>
      <c r="K23" s="7">
        <f>R23</f>
        <v>6</v>
      </c>
      <c r="L23" s="7">
        <f>S23</f>
        <v>65</v>
      </c>
      <c r="M23" s="7">
        <f>T23</f>
        <v>93</v>
      </c>
      <c r="N23" s="7" t="str">
        <f>U23</f>
        <v>CLINICAMENTE SIGNIFICATIVA</v>
      </c>
      <c r="O23" s="7" t="str">
        <f>V23</f>
        <v>CUESTIONABLE</v>
      </c>
      <c r="P23" s="6" t="s">
        <v>8</v>
      </c>
      <c r="R23" s="6">
        <f>LOOKUP(E5,S35:S37,Z35:Z37)</f>
        <v>6</v>
      </c>
      <c r="S23" s="6">
        <f>LOOKUP(E5,S41:S43,Z41:Z43)</f>
        <v>65</v>
      </c>
      <c r="T23" s="6">
        <f>LOOKUP(E5,S45:S47,Z45:Z47)</f>
        <v>93</v>
      </c>
      <c r="U23" s="6" t="str">
        <f>LOOKUP(S23,BP19:BQ118)</f>
        <v>CLINICAMENTE SIGNIFICATIVA</v>
      </c>
      <c r="V23" s="6" t="str">
        <f>LOOKUP(S23,BP19:BP118,BR19:BR118)</f>
        <v>CUESTIONABLE</v>
      </c>
      <c r="AH23" s="9">
        <v>4</v>
      </c>
      <c r="AI23" s="9">
        <v>42</v>
      </c>
      <c r="AJ23" s="9">
        <v>23</v>
      </c>
      <c r="AK23" s="9">
        <v>55</v>
      </c>
      <c r="AL23" s="9">
        <v>70</v>
      </c>
      <c r="AM23" s="9">
        <v>56</v>
      </c>
      <c r="AN23" s="9">
        <v>74</v>
      </c>
      <c r="AO23" s="9">
        <v>55</v>
      </c>
      <c r="AP23" s="9">
        <v>63</v>
      </c>
      <c r="AQ23" s="9">
        <v>37</v>
      </c>
      <c r="AR23" s="9">
        <v>10</v>
      </c>
      <c r="AS23" s="9">
        <v>43</v>
      </c>
      <c r="AT23" s="9">
        <v>27</v>
      </c>
      <c r="AU23" s="9">
        <v>58</v>
      </c>
      <c r="AV23" s="9">
        <v>78</v>
      </c>
      <c r="AW23" s="9">
        <v>64</v>
      </c>
      <c r="AX23" s="9">
        <v>88</v>
      </c>
      <c r="AY23" s="9">
        <v>48</v>
      </c>
      <c r="AZ23" s="9">
        <v>49</v>
      </c>
      <c r="BA23" s="9">
        <v>54</v>
      </c>
      <c r="BB23" s="9">
        <v>61</v>
      </c>
      <c r="BC23" s="9">
        <v>37</v>
      </c>
      <c r="BD23" s="9">
        <v>6</v>
      </c>
      <c r="BE23" s="9">
        <v>37</v>
      </c>
      <c r="BF23" s="9">
        <v>12</v>
      </c>
      <c r="BG23" s="9">
        <v>52</v>
      </c>
      <c r="BH23" s="9">
        <v>56</v>
      </c>
      <c r="BI23" s="9">
        <v>45</v>
      </c>
      <c r="BJ23" s="9">
        <v>29</v>
      </c>
      <c r="BK23" s="9">
        <v>49</v>
      </c>
      <c r="BL23" s="9">
        <v>43</v>
      </c>
      <c r="BM23" s="9">
        <v>32</v>
      </c>
      <c r="BN23" s="9">
        <v>3</v>
      </c>
      <c r="BP23" s="6">
        <v>5</v>
      </c>
      <c r="BQ23" s="6" t="s">
        <v>40</v>
      </c>
      <c r="BR23" s="6" t="s">
        <v>45</v>
      </c>
    </row>
    <row r="24" spans="2:70" x14ac:dyDescent="0.2">
      <c r="B24" s="6">
        <v>14</v>
      </c>
      <c r="C24" s="6">
        <f>IF('DATOS Y RESPUESTAS'!C31="x",1,0)</f>
        <v>1</v>
      </c>
      <c r="E24" s="6" t="s">
        <v>5</v>
      </c>
      <c r="AH24" s="9">
        <v>5</v>
      </c>
      <c r="AI24" s="9">
        <v>45</v>
      </c>
      <c r="AJ24" s="9">
        <v>34</v>
      </c>
      <c r="AK24" s="9">
        <v>59</v>
      </c>
      <c r="AL24" s="9">
        <v>79</v>
      </c>
      <c r="AM24" s="9">
        <v>61</v>
      </c>
      <c r="AN24" s="9">
        <v>86</v>
      </c>
      <c r="AO24" s="9">
        <v>60</v>
      </c>
      <c r="AP24" s="9">
        <v>78</v>
      </c>
      <c r="AQ24" s="9">
        <v>39</v>
      </c>
      <c r="AR24" s="9">
        <v>14</v>
      </c>
      <c r="AS24" s="9">
        <v>46</v>
      </c>
      <c r="AT24" s="9">
        <v>37</v>
      </c>
      <c r="AU24" s="9">
        <v>62</v>
      </c>
      <c r="AV24" s="9">
        <v>85</v>
      </c>
      <c r="AW24" s="9">
        <v>69</v>
      </c>
      <c r="AX24" s="9">
        <v>94</v>
      </c>
      <c r="AY24" s="9">
        <v>51</v>
      </c>
      <c r="AZ24" s="9">
        <v>59</v>
      </c>
      <c r="BA24" s="9">
        <v>59</v>
      </c>
      <c r="BB24" s="9">
        <v>77</v>
      </c>
      <c r="BC24" s="9">
        <v>38</v>
      </c>
      <c r="BD24" s="9">
        <v>10</v>
      </c>
      <c r="BE24" s="9">
        <v>39</v>
      </c>
      <c r="BF24" s="9">
        <v>17</v>
      </c>
      <c r="BG24" s="9">
        <v>57</v>
      </c>
      <c r="BH24" s="9">
        <v>73</v>
      </c>
      <c r="BI24" s="9">
        <v>51</v>
      </c>
      <c r="BJ24" s="9">
        <v>43</v>
      </c>
      <c r="BK24" s="9">
        <v>54</v>
      </c>
      <c r="BL24" s="9">
        <v>56</v>
      </c>
      <c r="BM24" s="9">
        <v>33</v>
      </c>
      <c r="BN24" s="9">
        <v>5</v>
      </c>
      <c r="BP24" s="6">
        <v>6</v>
      </c>
      <c r="BQ24" s="6" t="s">
        <v>40</v>
      </c>
      <c r="BR24" s="6" t="s">
        <v>45</v>
      </c>
    </row>
    <row r="25" spans="2:70" x14ac:dyDescent="0.2">
      <c r="B25" s="6">
        <v>15</v>
      </c>
      <c r="C25" s="6">
        <f>IF('DATOS Y RESPUESTAS'!C32="x",1,0)</f>
        <v>1</v>
      </c>
      <c r="E25" s="6" t="s">
        <v>6</v>
      </c>
      <c r="AH25" s="9">
        <v>6</v>
      </c>
      <c r="AI25" s="9">
        <v>48</v>
      </c>
      <c r="AJ25" s="9">
        <v>45</v>
      </c>
      <c r="AK25" s="9">
        <v>63</v>
      </c>
      <c r="AL25" s="9">
        <v>86</v>
      </c>
      <c r="AM25" s="9">
        <v>67</v>
      </c>
      <c r="AN25" s="9">
        <v>95</v>
      </c>
      <c r="AO25" s="9">
        <v>65</v>
      </c>
      <c r="AP25" s="9">
        <v>93</v>
      </c>
      <c r="AQ25" s="9">
        <v>40</v>
      </c>
      <c r="AR25" s="9">
        <v>18</v>
      </c>
      <c r="AS25" s="9">
        <v>50</v>
      </c>
      <c r="AT25" s="9">
        <v>47</v>
      </c>
      <c r="AU25" s="9">
        <v>67</v>
      </c>
      <c r="AV25" s="9">
        <v>91</v>
      </c>
      <c r="AW25" s="9">
        <v>75</v>
      </c>
      <c r="AX25" s="9">
        <v>97</v>
      </c>
      <c r="AY25" s="9">
        <v>53</v>
      </c>
      <c r="AZ25" s="9">
        <v>66</v>
      </c>
      <c r="BA25" s="9">
        <v>63</v>
      </c>
      <c r="BB25" s="9">
        <v>91</v>
      </c>
      <c r="BC25" s="9">
        <v>39</v>
      </c>
      <c r="BD25" s="9">
        <v>13</v>
      </c>
      <c r="BE25" s="9">
        <v>41</v>
      </c>
      <c r="BF25" s="9">
        <v>22</v>
      </c>
      <c r="BG25" s="9">
        <v>62</v>
      </c>
      <c r="BH25" s="9">
        <v>87</v>
      </c>
      <c r="BI25" s="9">
        <v>56</v>
      </c>
      <c r="BJ25" s="9">
        <v>64</v>
      </c>
      <c r="BK25" s="9">
        <v>58</v>
      </c>
      <c r="BL25" s="9">
        <v>74</v>
      </c>
      <c r="BM25" s="9">
        <v>34</v>
      </c>
      <c r="BN25" s="9">
        <v>7</v>
      </c>
      <c r="BP25" s="6">
        <v>7</v>
      </c>
      <c r="BQ25" s="6" t="s">
        <v>40</v>
      </c>
      <c r="BR25" s="6" t="s">
        <v>45</v>
      </c>
    </row>
    <row r="26" spans="2:70" hidden="1" x14ac:dyDescent="0.2">
      <c r="B26" s="6">
        <v>16</v>
      </c>
      <c r="C26" s="6">
        <f>IF('DATOS Y RESPUESTAS'!C33="x",1,0)</f>
        <v>1</v>
      </c>
      <c r="E26" s="6" t="s">
        <v>7</v>
      </c>
      <c r="AH26" s="9">
        <v>7</v>
      </c>
      <c r="AI26" s="9">
        <v>51</v>
      </c>
      <c r="AJ26" s="9">
        <v>56</v>
      </c>
      <c r="AK26" s="9">
        <v>67</v>
      </c>
      <c r="AL26" s="9">
        <v>92</v>
      </c>
      <c r="AM26" s="9">
        <v>72</v>
      </c>
      <c r="AN26" s="9">
        <v>99</v>
      </c>
      <c r="AO26" s="9"/>
      <c r="AP26" s="9"/>
      <c r="AQ26" s="9">
        <v>42</v>
      </c>
      <c r="AR26" s="9">
        <v>24</v>
      </c>
      <c r="AS26" s="9">
        <v>53</v>
      </c>
      <c r="AT26" s="9">
        <v>59</v>
      </c>
      <c r="AU26" s="9">
        <v>71</v>
      </c>
      <c r="AV26" s="9">
        <v>97</v>
      </c>
      <c r="AW26" s="9">
        <v>81</v>
      </c>
      <c r="AX26" s="9">
        <v>99</v>
      </c>
      <c r="AY26" s="9">
        <v>56</v>
      </c>
      <c r="AZ26" s="9">
        <v>73</v>
      </c>
      <c r="BA26" s="9">
        <v>68</v>
      </c>
      <c r="BB26" s="9">
        <v>98</v>
      </c>
      <c r="BC26" s="9">
        <v>40</v>
      </c>
      <c r="BD26" s="9">
        <v>17</v>
      </c>
      <c r="BE26" s="9">
        <v>42</v>
      </c>
      <c r="BF26" s="9">
        <v>27</v>
      </c>
      <c r="BG26" s="9">
        <v>68</v>
      </c>
      <c r="BH26" s="9">
        <v>97</v>
      </c>
      <c r="BI26" s="9">
        <v>61</v>
      </c>
      <c r="BJ26" s="9">
        <v>87</v>
      </c>
      <c r="BK26" s="9">
        <v>63</v>
      </c>
      <c r="BL26" s="9">
        <v>93</v>
      </c>
      <c r="BM26" s="9">
        <v>35</v>
      </c>
      <c r="BN26" s="9">
        <v>9</v>
      </c>
      <c r="BP26" s="6">
        <v>8</v>
      </c>
      <c r="BQ26" s="6" t="s">
        <v>40</v>
      </c>
      <c r="BR26" s="6" t="s">
        <v>45</v>
      </c>
    </row>
    <row r="27" spans="2:70" hidden="1" x14ac:dyDescent="0.2">
      <c r="B27" s="6">
        <v>17</v>
      </c>
      <c r="C27" s="6">
        <f>IF('DATOS Y RESPUESTAS'!C34="x",1,0)</f>
        <v>1</v>
      </c>
      <c r="E27" s="6" t="s">
        <v>12</v>
      </c>
      <c r="AH27" s="9">
        <v>8</v>
      </c>
      <c r="AI27" s="9">
        <v>54</v>
      </c>
      <c r="AJ27" s="9">
        <v>65</v>
      </c>
      <c r="AK27" s="9">
        <v>71</v>
      </c>
      <c r="AL27" s="9">
        <v>97</v>
      </c>
      <c r="AM27" s="9"/>
      <c r="AN27" s="9"/>
      <c r="AO27" s="9"/>
      <c r="AP27" s="9"/>
      <c r="AQ27" s="9">
        <v>43</v>
      </c>
      <c r="AR27" s="9">
        <v>29</v>
      </c>
      <c r="AS27" s="9">
        <v>57</v>
      </c>
      <c r="AT27" s="9">
        <v>72</v>
      </c>
      <c r="AU27" s="9">
        <v>76</v>
      </c>
      <c r="AV27" s="9">
        <v>99</v>
      </c>
      <c r="AW27" s="9"/>
      <c r="AX27" s="9"/>
      <c r="AY27" s="9">
        <v>59</v>
      </c>
      <c r="AZ27" s="9">
        <v>80</v>
      </c>
      <c r="BA27" s="9"/>
      <c r="BB27" s="9"/>
      <c r="BC27" s="9">
        <v>41</v>
      </c>
      <c r="BD27" s="9">
        <v>21</v>
      </c>
      <c r="BE27" s="9">
        <v>44</v>
      </c>
      <c r="BF27" s="9">
        <v>32</v>
      </c>
      <c r="BG27" s="9"/>
      <c r="BH27" s="9"/>
      <c r="BI27" s="9"/>
      <c r="BJ27" s="9"/>
      <c r="BK27" s="9"/>
      <c r="BL27" s="9"/>
      <c r="BM27" s="9">
        <v>36</v>
      </c>
      <c r="BN27" s="9">
        <v>11</v>
      </c>
      <c r="BP27" s="6">
        <v>9</v>
      </c>
      <c r="BQ27" s="6" t="s">
        <v>40</v>
      </c>
      <c r="BR27" s="6" t="s">
        <v>45</v>
      </c>
    </row>
    <row r="28" spans="2:70" hidden="1" x14ac:dyDescent="0.2">
      <c r="B28" s="6">
        <v>18</v>
      </c>
      <c r="C28" s="6">
        <f>IF('DATOS Y RESPUESTAS'!C35="x",1,0)</f>
        <v>1</v>
      </c>
      <c r="E28" s="6" t="s">
        <v>8</v>
      </c>
      <c r="Q28" s="6">
        <v>3</v>
      </c>
      <c r="R28" s="6">
        <v>4</v>
      </c>
      <c r="S28" s="6">
        <v>5</v>
      </c>
      <c r="U28" s="6">
        <v>6</v>
      </c>
      <c r="AH28" s="9">
        <v>9</v>
      </c>
      <c r="AI28" s="9">
        <v>57</v>
      </c>
      <c r="AJ28" s="9">
        <v>47</v>
      </c>
      <c r="AK28" s="9">
        <v>75</v>
      </c>
      <c r="AL28" s="9">
        <v>99</v>
      </c>
      <c r="AM28" s="9"/>
      <c r="AN28" s="9"/>
      <c r="AO28" s="9"/>
      <c r="AP28" s="9"/>
      <c r="AQ28" s="9">
        <v>45</v>
      </c>
      <c r="AR28" s="9">
        <v>33</v>
      </c>
      <c r="AS28" s="9">
        <v>60</v>
      </c>
      <c r="AT28" s="9">
        <v>83</v>
      </c>
      <c r="AU28" s="9"/>
      <c r="AV28" s="9"/>
      <c r="AW28" s="9"/>
      <c r="AX28" s="9"/>
      <c r="AY28" s="9">
        <v>62</v>
      </c>
      <c r="AZ28" s="9">
        <v>85</v>
      </c>
      <c r="BA28" s="9"/>
      <c r="BB28" s="9"/>
      <c r="BC28" s="9">
        <v>43</v>
      </c>
      <c r="BD28" s="9">
        <v>26</v>
      </c>
      <c r="BE28" s="9">
        <v>46</v>
      </c>
      <c r="BF28" s="9">
        <v>37</v>
      </c>
      <c r="BG28" s="9"/>
      <c r="BH28" s="9"/>
      <c r="BI28" s="9"/>
      <c r="BJ28" s="9"/>
      <c r="BK28" s="9"/>
      <c r="BL28" s="9"/>
      <c r="BM28" s="9">
        <v>37</v>
      </c>
      <c r="BN28" s="9">
        <v>13</v>
      </c>
      <c r="BP28" s="6">
        <v>10</v>
      </c>
      <c r="BQ28" s="6" t="s">
        <v>40</v>
      </c>
      <c r="BR28" s="6" t="s">
        <v>45</v>
      </c>
    </row>
    <row r="29" spans="2:70" hidden="1" x14ac:dyDescent="0.2">
      <c r="B29" s="6">
        <v>19</v>
      </c>
      <c r="C29" s="6">
        <f>IF('DATOS Y RESPUESTAS'!C36="x",1,0)</f>
        <v>1</v>
      </c>
      <c r="E29" s="6" t="s">
        <v>9</v>
      </c>
      <c r="P29" s="6">
        <v>1</v>
      </c>
      <c r="Q29" s="6" t="s">
        <v>7</v>
      </c>
      <c r="R29" s="8" t="s">
        <v>16</v>
      </c>
      <c r="AH29" s="9">
        <v>10</v>
      </c>
      <c r="AI29" s="9">
        <v>60</v>
      </c>
      <c r="AJ29" s="9">
        <v>81</v>
      </c>
      <c r="AK29" s="9"/>
      <c r="AL29" s="9"/>
      <c r="AM29" s="9"/>
      <c r="AN29" s="9"/>
      <c r="AO29" s="9"/>
      <c r="AP29" s="9"/>
      <c r="AQ29" s="9">
        <v>46</v>
      </c>
      <c r="AR29" s="9">
        <v>39</v>
      </c>
      <c r="AS29" s="9">
        <v>64</v>
      </c>
      <c r="AT29" s="9">
        <v>92</v>
      </c>
      <c r="AU29" s="9"/>
      <c r="AV29" s="9"/>
      <c r="AW29" s="9"/>
      <c r="AX29" s="9"/>
      <c r="AY29" s="9">
        <v>65</v>
      </c>
      <c r="AZ29" s="9">
        <v>89</v>
      </c>
      <c r="BA29" s="9"/>
      <c r="BB29" s="9"/>
      <c r="BC29" s="9">
        <v>44</v>
      </c>
      <c r="BD29" s="9">
        <v>31</v>
      </c>
      <c r="BE29" s="9">
        <v>47</v>
      </c>
      <c r="BF29" s="9">
        <v>43</v>
      </c>
      <c r="BG29" s="9"/>
      <c r="BH29" s="9"/>
      <c r="BI29" s="9"/>
      <c r="BJ29" s="9"/>
      <c r="BK29" s="9"/>
      <c r="BL29" s="9"/>
      <c r="BM29" s="9">
        <v>39</v>
      </c>
      <c r="BN29" s="9">
        <v>15</v>
      </c>
      <c r="BP29" s="6">
        <v>11</v>
      </c>
      <c r="BQ29" s="6" t="s">
        <v>40</v>
      </c>
      <c r="BR29" s="6" t="s">
        <v>45</v>
      </c>
    </row>
    <row r="30" spans="2:70" hidden="1" x14ac:dyDescent="0.2">
      <c r="B30" s="6">
        <v>20</v>
      </c>
      <c r="C30" s="6">
        <f>IF('DATOS Y RESPUESTAS'!C37="x",1,0)</f>
        <v>1</v>
      </c>
      <c r="P30" s="6">
        <v>2</v>
      </c>
      <c r="Q30" s="6" t="s">
        <v>7</v>
      </c>
      <c r="R30" s="6" t="s">
        <v>12</v>
      </c>
      <c r="AH30" s="9">
        <v>11</v>
      </c>
      <c r="AI30" s="9">
        <v>62</v>
      </c>
      <c r="AJ30" s="9">
        <v>86</v>
      </c>
      <c r="AK30" s="9"/>
      <c r="AL30" s="9"/>
      <c r="AM30" s="9"/>
      <c r="AN30" s="9"/>
      <c r="AO30" s="9"/>
      <c r="AP30" s="9"/>
      <c r="AQ30" s="9">
        <v>48</v>
      </c>
      <c r="AR30" s="9">
        <v>46</v>
      </c>
      <c r="AS30" s="9">
        <v>67</v>
      </c>
      <c r="AT30" s="9">
        <v>97</v>
      </c>
      <c r="AU30" s="9"/>
      <c r="AV30" s="9"/>
      <c r="AW30" s="9"/>
      <c r="AX30" s="9"/>
      <c r="AY30" s="9">
        <v>67</v>
      </c>
      <c r="AZ30" s="9">
        <v>93</v>
      </c>
      <c r="BA30" s="9"/>
      <c r="BB30" s="9"/>
      <c r="BC30" s="9">
        <v>45</v>
      </c>
      <c r="BD30" s="9">
        <v>36</v>
      </c>
      <c r="BE30" s="9">
        <v>49</v>
      </c>
      <c r="BF30" s="9">
        <v>48</v>
      </c>
      <c r="BG30" s="9"/>
      <c r="BH30" s="9"/>
      <c r="BI30" s="9"/>
      <c r="BJ30" s="9"/>
      <c r="BK30" s="9"/>
      <c r="BL30" s="9"/>
      <c r="BM30" s="9">
        <v>40</v>
      </c>
      <c r="BN30" s="9">
        <v>18</v>
      </c>
      <c r="BP30" s="6">
        <v>12</v>
      </c>
      <c r="BQ30" s="6" t="s">
        <v>40</v>
      </c>
      <c r="BR30" s="6" t="s">
        <v>45</v>
      </c>
    </row>
    <row r="31" spans="2:70" hidden="1" x14ac:dyDescent="0.2">
      <c r="B31" s="6">
        <v>21</v>
      </c>
      <c r="C31" s="6">
        <f>IF('DATOS Y RESPUESTAS'!C38="x",1,0)</f>
        <v>1</v>
      </c>
      <c r="E31" s="6" t="s">
        <v>3</v>
      </c>
      <c r="F31" s="6" t="s">
        <v>13</v>
      </c>
      <c r="P31" s="6">
        <v>3</v>
      </c>
      <c r="Q31" s="6" t="s">
        <v>14</v>
      </c>
      <c r="R31" s="8" t="s">
        <v>16</v>
      </c>
      <c r="AH31" s="9">
        <v>12</v>
      </c>
      <c r="AI31" s="9">
        <v>65</v>
      </c>
      <c r="AJ31" s="9">
        <v>92</v>
      </c>
      <c r="AK31" s="9"/>
      <c r="AL31" s="9"/>
      <c r="AM31" s="9"/>
      <c r="AN31" s="9"/>
      <c r="AO31" s="9"/>
      <c r="AP31" s="9"/>
      <c r="AQ31" s="9">
        <v>49</v>
      </c>
      <c r="AR31" s="9">
        <v>53</v>
      </c>
      <c r="AS31" s="9">
        <v>71</v>
      </c>
      <c r="AT31" s="9">
        <v>99</v>
      </c>
      <c r="AU31" s="9"/>
      <c r="AV31" s="9"/>
      <c r="AW31" s="9"/>
      <c r="AX31" s="9"/>
      <c r="AY31" s="9">
        <v>70</v>
      </c>
      <c r="AZ31" s="9">
        <v>96</v>
      </c>
      <c r="BA31" s="9"/>
      <c r="BB31" s="9"/>
      <c r="BC31" s="9">
        <v>46</v>
      </c>
      <c r="BD31" s="9">
        <v>41</v>
      </c>
      <c r="BE31" s="9">
        <v>51</v>
      </c>
      <c r="BF31" s="9">
        <v>53</v>
      </c>
      <c r="BG31" s="9"/>
      <c r="BH31" s="9"/>
      <c r="BI31" s="9"/>
      <c r="BJ31" s="9"/>
      <c r="BK31" s="9"/>
      <c r="BL31" s="9"/>
      <c r="BM31" s="9">
        <v>41</v>
      </c>
      <c r="BN31" s="9">
        <v>20</v>
      </c>
      <c r="BP31" s="6">
        <v>13</v>
      </c>
      <c r="BQ31" s="6" t="s">
        <v>40</v>
      </c>
      <c r="BR31" s="6" t="s">
        <v>45</v>
      </c>
    </row>
    <row r="32" spans="2:70" hidden="1" x14ac:dyDescent="0.2">
      <c r="B32" s="6">
        <v>22</v>
      </c>
      <c r="C32" s="6">
        <f>IF('DATOS Y RESPUESTAS'!C39="x",1,0)</f>
        <v>1</v>
      </c>
      <c r="AH32" s="9">
        <v>13</v>
      </c>
      <c r="AI32" s="9">
        <v>68</v>
      </c>
      <c r="AJ32" s="9">
        <v>96</v>
      </c>
      <c r="AK32" s="9"/>
      <c r="AL32" s="9"/>
      <c r="AM32" s="9"/>
      <c r="AN32" s="9"/>
      <c r="AO32" s="9"/>
      <c r="AP32" s="9"/>
      <c r="AQ32" s="9">
        <v>51</v>
      </c>
      <c r="AR32" s="9">
        <v>60</v>
      </c>
      <c r="AS32" s="9"/>
      <c r="AT32" s="9"/>
      <c r="AU32" s="9"/>
      <c r="AV32" s="9"/>
      <c r="AW32" s="9"/>
      <c r="AX32" s="9"/>
      <c r="AY32" s="9">
        <v>73</v>
      </c>
      <c r="AZ32" s="9">
        <v>98</v>
      </c>
      <c r="BA32" s="9"/>
      <c r="BB32" s="9"/>
      <c r="BC32" s="9">
        <v>48</v>
      </c>
      <c r="BD32" s="9">
        <v>45</v>
      </c>
      <c r="BE32" s="9">
        <v>52</v>
      </c>
      <c r="BF32" s="9">
        <v>57</v>
      </c>
      <c r="BG32" s="9"/>
      <c r="BH32" s="9"/>
      <c r="BI32" s="9"/>
      <c r="BJ32" s="9"/>
      <c r="BK32" s="9"/>
      <c r="BL32" s="9"/>
      <c r="BM32" s="9">
        <v>42</v>
      </c>
      <c r="BN32" s="9">
        <v>23</v>
      </c>
      <c r="BP32" s="6">
        <v>14</v>
      </c>
      <c r="BQ32" s="6" t="s">
        <v>40</v>
      </c>
      <c r="BR32" s="6" t="s">
        <v>45</v>
      </c>
    </row>
    <row r="33" spans="2:70" hidden="1" x14ac:dyDescent="0.2">
      <c r="B33" s="6">
        <v>23</v>
      </c>
      <c r="C33" s="6">
        <f>IF('DATOS Y RESPUESTAS'!C40="x",1,0)</f>
        <v>1</v>
      </c>
      <c r="E33" s="6" t="s">
        <v>5</v>
      </c>
      <c r="V33" s="6" t="s">
        <v>17</v>
      </c>
      <c r="W33" s="6" t="s">
        <v>18</v>
      </c>
      <c r="X33" s="6" t="s">
        <v>19</v>
      </c>
      <c r="Y33" s="6" t="s">
        <v>18</v>
      </c>
      <c r="Z33" s="6" t="s">
        <v>8</v>
      </c>
      <c r="AA33" s="6" t="s">
        <v>20</v>
      </c>
      <c r="AH33" s="9">
        <v>14</v>
      </c>
      <c r="AI33" s="9">
        <v>71</v>
      </c>
      <c r="AJ33" s="9">
        <v>99</v>
      </c>
      <c r="AK33" s="9"/>
      <c r="AL33" s="9"/>
      <c r="AM33" s="9"/>
      <c r="AN33" s="9"/>
      <c r="AO33" s="9"/>
      <c r="AP33" s="9"/>
      <c r="AQ33" s="9">
        <v>52</v>
      </c>
      <c r="AR33" s="9">
        <v>64</v>
      </c>
      <c r="AS33" s="9"/>
      <c r="AT33" s="9"/>
      <c r="AU33" s="9"/>
      <c r="AV33" s="9"/>
      <c r="AW33" s="9"/>
      <c r="AX33" s="9"/>
      <c r="AY33" s="9">
        <v>76</v>
      </c>
      <c r="AZ33" s="9">
        <v>99</v>
      </c>
      <c r="BA33" s="9"/>
      <c r="BB33" s="9"/>
      <c r="BC33" s="9">
        <v>49</v>
      </c>
      <c r="BD33" s="9">
        <v>50</v>
      </c>
      <c r="BE33" s="9">
        <v>54</v>
      </c>
      <c r="BF33" s="9">
        <v>61</v>
      </c>
      <c r="BG33" s="9"/>
      <c r="BH33" s="9"/>
      <c r="BI33" s="9"/>
      <c r="BJ33" s="9"/>
      <c r="BK33" s="9"/>
      <c r="BL33" s="9"/>
      <c r="BM33" s="9">
        <v>43</v>
      </c>
      <c r="BN33" s="9">
        <v>26</v>
      </c>
      <c r="BP33" s="6">
        <v>15</v>
      </c>
      <c r="BQ33" s="6" t="s">
        <v>40</v>
      </c>
      <c r="BR33" s="6" t="s">
        <v>45</v>
      </c>
    </row>
    <row r="34" spans="2:70" hidden="1" x14ac:dyDescent="0.2">
      <c r="B34" s="6">
        <v>24</v>
      </c>
      <c r="C34" s="6">
        <f>IF('DATOS Y RESPUESTAS'!C41="x",1,0)</f>
        <v>1</v>
      </c>
      <c r="E34" s="6" t="s">
        <v>6</v>
      </c>
      <c r="V34" s="10">
        <v>1</v>
      </c>
      <c r="W34" s="10">
        <v>2</v>
      </c>
      <c r="X34" s="10">
        <v>3</v>
      </c>
      <c r="Y34" s="10">
        <v>4</v>
      </c>
      <c r="Z34" s="10">
        <v>5</v>
      </c>
      <c r="AA34" s="10">
        <v>6</v>
      </c>
      <c r="AB34" s="10"/>
      <c r="AC34" s="10"/>
      <c r="AD34" s="10"/>
      <c r="AE34" s="10"/>
      <c r="AH34" s="9">
        <v>15</v>
      </c>
      <c r="AI34" s="9"/>
      <c r="AJ34" s="9"/>
      <c r="AK34" s="9"/>
      <c r="AL34" s="9"/>
      <c r="AM34" s="9"/>
      <c r="AN34" s="9"/>
      <c r="AO34" s="9"/>
      <c r="AP34" s="9"/>
      <c r="AQ34" s="9">
        <v>54</v>
      </c>
      <c r="AR34" s="9">
        <v>69</v>
      </c>
      <c r="AS34" s="9"/>
      <c r="AT34" s="9"/>
      <c r="AU34" s="9"/>
      <c r="AV34" s="9"/>
      <c r="AW34" s="9"/>
      <c r="AX34" s="9"/>
      <c r="AY34" s="9">
        <v>79</v>
      </c>
      <c r="AZ34" s="9">
        <v>99</v>
      </c>
      <c r="BA34" s="9"/>
      <c r="BB34" s="9"/>
      <c r="BC34" s="9">
        <v>50</v>
      </c>
      <c r="BD34" s="9">
        <v>55</v>
      </c>
      <c r="BE34" s="9">
        <v>56</v>
      </c>
      <c r="BF34" s="9">
        <v>67</v>
      </c>
      <c r="BG34" s="9"/>
      <c r="BH34" s="9"/>
      <c r="BI34" s="9"/>
      <c r="BJ34" s="9"/>
      <c r="BK34" s="9"/>
      <c r="BL34" s="9"/>
      <c r="BM34" s="9">
        <v>44</v>
      </c>
      <c r="BN34" s="9">
        <v>30</v>
      </c>
      <c r="BP34" s="6">
        <v>16</v>
      </c>
      <c r="BQ34" s="6" t="s">
        <v>40</v>
      </c>
      <c r="BR34" s="6" t="s">
        <v>45</v>
      </c>
    </row>
    <row r="35" spans="2:70" hidden="1" x14ac:dyDescent="0.2">
      <c r="B35" s="6">
        <v>25</v>
      </c>
      <c r="C35" s="6">
        <f>IF('DATOS Y RESPUESTAS'!C42="x",1,0)</f>
        <v>1</v>
      </c>
      <c r="E35" s="6" t="s">
        <v>14</v>
      </c>
      <c r="S35" s="6">
        <v>1</v>
      </c>
      <c r="U35" s="6" t="s">
        <v>4</v>
      </c>
      <c r="V35" s="8">
        <f>SUM(C11+C15+C17+C19+C23+C26+C28+C30+C32+C35+C39+C41+C43+C46)</f>
        <v>14</v>
      </c>
      <c r="W35" s="8">
        <f>SUM(C12+C16+C20+C24+C27+C31+C36+C40+C44)</f>
        <v>9</v>
      </c>
      <c r="X35" s="8">
        <f>SUM(C13+C21+C25+C29+C33+C37+C45)</f>
        <v>7</v>
      </c>
      <c r="Y35" s="8" t="s">
        <v>16</v>
      </c>
      <c r="Z35" s="8">
        <f>SUM(C14+C18+C22+C34+C38+C42)</f>
        <v>6</v>
      </c>
      <c r="AA35" s="8">
        <f>SUM(V35+W35+X35)</f>
        <v>30</v>
      </c>
      <c r="AB35" s="8"/>
      <c r="AC35" s="8"/>
      <c r="AD35" s="8"/>
      <c r="AE35" s="8"/>
      <c r="AH35" s="9">
        <v>16</v>
      </c>
      <c r="AI35" s="9"/>
      <c r="AJ35" s="9"/>
      <c r="AK35" s="9"/>
      <c r="AL35" s="9"/>
      <c r="AM35" s="9"/>
      <c r="AN35" s="9"/>
      <c r="AO35" s="9"/>
      <c r="AP35" s="9"/>
      <c r="AQ35" s="9">
        <v>55</v>
      </c>
      <c r="AR35" s="9">
        <v>73</v>
      </c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>
        <v>51</v>
      </c>
      <c r="BD35" s="9">
        <v>60</v>
      </c>
      <c r="BE35" s="9">
        <v>57</v>
      </c>
      <c r="BF35" s="9">
        <v>72</v>
      </c>
      <c r="BG35" s="9"/>
      <c r="BH35" s="9"/>
      <c r="BI35" s="9"/>
      <c r="BJ35" s="9"/>
      <c r="BK35" s="9"/>
      <c r="BL35" s="9"/>
      <c r="BM35" s="9">
        <v>45</v>
      </c>
      <c r="BN35" s="9">
        <v>34</v>
      </c>
      <c r="BP35" s="6">
        <v>17</v>
      </c>
      <c r="BQ35" s="6" t="s">
        <v>40</v>
      </c>
      <c r="BR35" s="6" t="s">
        <v>45</v>
      </c>
    </row>
    <row r="36" spans="2:70" hidden="1" x14ac:dyDescent="0.2">
      <c r="B36" s="6">
        <v>26</v>
      </c>
      <c r="C36" s="6">
        <f>IF('DATOS Y RESPUESTAS'!C43="x",1,0)</f>
        <v>1</v>
      </c>
      <c r="E36" s="6" t="s">
        <v>15</v>
      </c>
      <c r="S36" s="6">
        <v>2</v>
      </c>
      <c r="U36" s="6" t="s">
        <v>11</v>
      </c>
      <c r="V36" s="8">
        <f>SUM(C14+C16+C23+C25+C28+C32+C35+C39+C45+C53+C56+C59)</f>
        <v>12</v>
      </c>
      <c r="W36" s="8">
        <f>SUM(C29+C40+C42+C44+C46+C50+C55+C57)</f>
        <v>8</v>
      </c>
      <c r="X36" s="8">
        <f>SUM(C11+C13+C19+C22+C36+C48+C52)</f>
        <v>7</v>
      </c>
      <c r="Y36" s="8">
        <f>SUM(C12+C15+C17+C21+C24+C27+C30+C33+C37+C41+C43+C47+C49+C51+C54)</f>
        <v>15</v>
      </c>
      <c r="Z36" s="8">
        <f>SUM(C18+C20+C26+C31+C34+C38+C58)</f>
        <v>7</v>
      </c>
      <c r="AA36" s="8">
        <f>SUM(V36+W36+X36+Y36)</f>
        <v>42</v>
      </c>
      <c r="AB36" s="8"/>
      <c r="AC36" s="8"/>
      <c r="AD36" s="8"/>
      <c r="AE36" s="8"/>
      <c r="AH36" s="9">
        <v>17</v>
      </c>
      <c r="AI36" s="9"/>
      <c r="AJ36" s="9"/>
      <c r="AK36" s="9"/>
      <c r="AL36" s="9"/>
      <c r="AM36" s="9"/>
      <c r="AN36" s="9"/>
      <c r="AO36" s="9"/>
      <c r="AP36" s="9"/>
      <c r="AQ36" s="9">
        <v>57</v>
      </c>
      <c r="AR36" s="9">
        <v>75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>
        <v>53</v>
      </c>
      <c r="BD36" s="9">
        <v>65</v>
      </c>
      <c r="BE36" s="9">
        <v>59</v>
      </c>
      <c r="BF36" s="9">
        <v>78</v>
      </c>
      <c r="BG36" s="9"/>
      <c r="BH36" s="9"/>
      <c r="BI36" s="9"/>
      <c r="BJ36" s="9"/>
      <c r="BK36" s="9"/>
      <c r="BL36" s="9"/>
      <c r="BM36" s="9">
        <v>46</v>
      </c>
      <c r="BN36" s="9">
        <v>38</v>
      </c>
      <c r="BP36" s="6">
        <v>18</v>
      </c>
      <c r="BQ36" s="6" t="s">
        <v>40</v>
      </c>
      <c r="BR36" s="6" t="s">
        <v>45</v>
      </c>
    </row>
    <row r="37" spans="2:70" hidden="1" x14ac:dyDescent="0.2">
      <c r="B37" s="6">
        <v>27</v>
      </c>
      <c r="C37" s="6">
        <f>IF('DATOS Y RESPUESTAS'!C44="x",1,0)</f>
        <v>1</v>
      </c>
      <c r="E37" s="6" t="s">
        <v>8</v>
      </c>
      <c r="S37" s="6">
        <v>3</v>
      </c>
      <c r="U37" s="6" t="s">
        <v>13</v>
      </c>
      <c r="V37" s="8">
        <f>SUM(C15+C16+C18+C20+C21+C23+C25+C27+C29+C31+C32+C34+C36+C37+C39+C40+C44+C45+C46+C48+C49+C52+C54)</f>
        <v>23</v>
      </c>
      <c r="W37" s="8">
        <f>SUM(C11+C13+C14+C28+C30+C33+C47)</f>
        <v>7</v>
      </c>
      <c r="X37" s="8">
        <f>SUM(C19+C35+C38+C41+C43+C50+C51)</f>
        <v>7</v>
      </c>
      <c r="Y37" s="8" t="s">
        <v>16</v>
      </c>
      <c r="Z37" s="8">
        <f>SUM(C12+C17+C22+C24+C26+C42+C53)</f>
        <v>7</v>
      </c>
      <c r="AA37" s="8">
        <f>SUM(V37+W37+X37)</f>
        <v>37</v>
      </c>
      <c r="AB37" s="8"/>
      <c r="AC37" s="8"/>
      <c r="AD37" s="8"/>
      <c r="AE37" s="8"/>
      <c r="AH37" s="9">
        <v>18</v>
      </c>
      <c r="AI37" s="9"/>
      <c r="AJ37" s="9"/>
      <c r="AK37" s="9"/>
      <c r="AL37" s="9"/>
      <c r="AM37" s="9"/>
      <c r="AN37" s="9"/>
      <c r="AO37" s="9"/>
      <c r="AP37" s="9"/>
      <c r="AQ37" s="9">
        <v>58</v>
      </c>
      <c r="AR37" s="9">
        <v>78</v>
      </c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>
        <v>54</v>
      </c>
      <c r="BD37" s="9">
        <v>70</v>
      </c>
      <c r="BE37" s="9">
        <v>60</v>
      </c>
      <c r="BF37" s="9">
        <v>82</v>
      </c>
      <c r="BG37" s="9"/>
      <c r="BH37" s="9"/>
      <c r="BI37" s="9"/>
      <c r="BJ37" s="9"/>
      <c r="BK37" s="9"/>
      <c r="BL37" s="9"/>
      <c r="BM37" s="9">
        <v>48</v>
      </c>
      <c r="BN37" s="9">
        <v>41</v>
      </c>
      <c r="BP37" s="6">
        <v>19</v>
      </c>
      <c r="BQ37" s="6" t="s">
        <v>40</v>
      </c>
      <c r="BR37" s="6" t="s">
        <v>45</v>
      </c>
    </row>
    <row r="38" spans="2:70" hidden="1" x14ac:dyDescent="0.2">
      <c r="B38" s="6">
        <v>28</v>
      </c>
      <c r="C38" s="6">
        <f>IF('DATOS Y RESPUESTAS'!C45="x",1,0)</f>
        <v>1</v>
      </c>
      <c r="E38" s="6" t="s">
        <v>9</v>
      </c>
      <c r="V38" s="8"/>
      <c r="W38" s="8"/>
      <c r="X38" s="8"/>
      <c r="Y38" s="8"/>
      <c r="Z38" s="8"/>
      <c r="AA38" s="8"/>
      <c r="AB38" s="8"/>
      <c r="AC38" s="8"/>
      <c r="AD38" s="8"/>
      <c r="AE38" s="8"/>
      <c r="AH38" s="9">
        <v>19</v>
      </c>
      <c r="AI38" s="9"/>
      <c r="AJ38" s="9"/>
      <c r="AK38" s="9"/>
      <c r="AL38" s="9"/>
      <c r="AM38" s="9"/>
      <c r="AN38" s="9"/>
      <c r="AO38" s="9"/>
      <c r="AP38" s="9"/>
      <c r="AQ38" s="9">
        <v>60</v>
      </c>
      <c r="AR38" s="9">
        <v>81</v>
      </c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>
        <v>55</v>
      </c>
      <c r="BD38" s="9">
        <v>73</v>
      </c>
      <c r="BE38" s="9">
        <v>62</v>
      </c>
      <c r="BF38" s="9">
        <v>86</v>
      </c>
      <c r="BG38" s="9"/>
      <c r="BH38" s="9"/>
      <c r="BI38" s="9"/>
      <c r="BJ38" s="9"/>
      <c r="BK38" s="9"/>
      <c r="BL38" s="9"/>
      <c r="BM38" s="9">
        <v>49</v>
      </c>
      <c r="BN38" s="9">
        <v>45</v>
      </c>
      <c r="BP38" s="6">
        <v>20</v>
      </c>
      <c r="BQ38" s="6" t="s">
        <v>40</v>
      </c>
      <c r="BR38" s="6" t="s">
        <v>45</v>
      </c>
    </row>
    <row r="39" spans="2:70" hidden="1" x14ac:dyDescent="0.2">
      <c r="B39" s="6">
        <v>29</v>
      </c>
      <c r="C39" s="6">
        <f>IF('DATOS Y RESPUESTAS'!C46="x",1,0)</f>
        <v>1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H39" s="9">
        <v>20</v>
      </c>
      <c r="AI39" s="9"/>
      <c r="AJ39" s="9"/>
      <c r="AK39" s="9"/>
      <c r="AL39" s="9"/>
      <c r="AM39" s="9"/>
      <c r="AN39" s="9"/>
      <c r="AO39" s="9"/>
      <c r="AP39" s="9"/>
      <c r="AQ39" s="9">
        <v>61</v>
      </c>
      <c r="AR39" s="9">
        <v>84</v>
      </c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>
        <v>56</v>
      </c>
      <c r="BD39" s="9">
        <v>76</v>
      </c>
      <c r="BE39" s="9">
        <v>64</v>
      </c>
      <c r="BF39" s="9">
        <v>89</v>
      </c>
      <c r="BG39" s="9"/>
      <c r="BH39" s="9"/>
      <c r="BI39" s="9"/>
      <c r="BJ39" s="9"/>
      <c r="BK39" s="9"/>
      <c r="BL39" s="9"/>
      <c r="BM39" s="9">
        <v>50</v>
      </c>
      <c r="BN39" s="9">
        <v>49</v>
      </c>
      <c r="BP39" s="6">
        <v>21</v>
      </c>
      <c r="BQ39" s="6" t="s">
        <v>40</v>
      </c>
      <c r="BR39" s="6" t="s">
        <v>45</v>
      </c>
    </row>
    <row r="40" spans="2:70" hidden="1" x14ac:dyDescent="0.2">
      <c r="B40" s="6">
        <v>30</v>
      </c>
      <c r="C40" s="6">
        <f>IF('DATOS Y RESPUESTAS'!C47="x",1,0)</f>
        <v>1</v>
      </c>
      <c r="V40" s="8">
        <v>1</v>
      </c>
      <c r="W40" s="8">
        <v>2</v>
      </c>
      <c r="X40" s="8">
        <v>3</v>
      </c>
      <c r="Y40" s="8">
        <v>4</v>
      </c>
      <c r="Z40" s="8">
        <v>5</v>
      </c>
      <c r="AA40" s="8">
        <v>6</v>
      </c>
      <c r="AB40" s="8"/>
      <c r="AC40" s="8"/>
      <c r="AD40" s="8"/>
      <c r="AE40" s="8"/>
      <c r="AH40" s="9">
        <v>21</v>
      </c>
      <c r="AI40" s="9"/>
      <c r="AJ40" s="9"/>
      <c r="AK40" s="9"/>
      <c r="AL40" s="9"/>
      <c r="AM40" s="9"/>
      <c r="AN40" s="9"/>
      <c r="AO40" s="9"/>
      <c r="AP40" s="9"/>
      <c r="AQ40" s="9">
        <v>63</v>
      </c>
      <c r="AR40" s="9">
        <v>87</v>
      </c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>
        <v>58</v>
      </c>
      <c r="BD40" s="9">
        <v>79</v>
      </c>
      <c r="BE40" s="9">
        <v>65</v>
      </c>
      <c r="BF40" s="9">
        <v>93</v>
      </c>
      <c r="BG40" s="9"/>
      <c r="BH40" s="9"/>
      <c r="BI40" s="9"/>
      <c r="BJ40" s="9"/>
      <c r="BK40" s="9"/>
      <c r="BL40" s="9"/>
      <c r="BM40" s="9">
        <v>51</v>
      </c>
      <c r="BN40" s="9">
        <v>53</v>
      </c>
      <c r="BP40" s="6">
        <v>22</v>
      </c>
      <c r="BQ40" s="6" t="s">
        <v>40</v>
      </c>
      <c r="BR40" s="6" t="s">
        <v>45</v>
      </c>
    </row>
    <row r="41" spans="2:70" hidden="1" x14ac:dyDescent="0.2">
      <c r="B41" s="6">
        <v>31</v>
      </c>
      <c r="C41" s="6">
        <f>IF('DATOS Y RESPUESTAS'!C48="x",1,0)</f>
        <v>1</v>
      </c>
      <c r="S41" s="6">
        <v>1</v>
      </c>
      <c r="U41" s="6" t="s">
        <v>4</v>
      </c>
      <c r="V41" s="8">
        <f>LOOKUP(V35,RR!AH19:AH33,RR!AI19:AI33)</f>
        <v>71</v>
      </c>
      <c r="W41" s="8">
        <f>LOOKUP(W35,RR!AH19:AH28,RR!AK19:AK28)</f>
        <v>75</v>
      </c>
      <c r="X41" s="8">
        <f>LOOKUP(X35,RR!AH19:AH26,RR!AM19:AM26)</f>
        <v>72</v>
      </c>
      <c r="Y41" s="8" t="s">
        <v>16</v>
      </c>
      <c r="Z41" s="8">
        <f>LOOKUP(Z35,RR!AH19:AH25,RR!AO19:AO25)</f>
        <v>65</v>
      </c>
      <c r="AA41" s="8">
        <f>LOOKUP(AA35,RR!AH19:AH49,RR!AQ19:AQ49)</f>
        <v>77</v>
      </c>
      <c r="AB41" s="8"/>
      <c r="AC41" s="8"/>
      <c r="AD41" s="8"/>
      <c r="AE41" s="8"/>
      <c r="AH41" s="9">
        <v>22</v>
      </c>
      <c r="AI41" s="9"/>
      <c r="AJ41" s="9"/>
      <c r="AK41" s="9"/>
      <c r="AL41" s="9"/>
      <c r="AM41" s="9"/>
      <c r="AN41" s="9"/>
      <c r="AO41" s="9"/>
      <c r="AP41" s="9"/>
      <c r="AQ41" s="9">
        <v>64</v>
      </c>
      <c r="AR41" s="9">
        <v>90</v>
      </c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>
        <v>59</v>
      </c>
      <c r="BD41" s="9">
        <v>81</v>
      </c>
      <c r="BE41" s="9">
        <v>67</v>
      </c>
      <c r="BF41" s="9">
        <v>96</v>
      </c>
      <c r="BG41" s="9"/>
      <c r="BH41" s="9"/>
      <c r="BI41" s="9"/>
      <c r="BJ41" s="9"/>
      <c r="BK41" s="9"/>
      <c r="BL41" s="9"/>
      <c r="BM41" s="9">
        <v>52</v>
      </c>
      <c r="BN41" s="9">
        <v>56</v>
      </c>
      <c r="BP41" s="6">
        <v>23</v>
      </c>
      <c r="BQ41" s="6" t="s">
        <v>40</v>
      </c>
      <c r="BR41" s="6" t="s">
        <v>45</v>
      </c>
    </row>
    <row r="42" spans="2:70" hidden="1" x14ac:dyDescent="0.2">
      <c r="B42" s="6">
        <v>32</v>
      </c>
      <c r="C42" s="6">
        <f>IF('DATOS Y RESPUESTAS'!C49="x",1,0)</f>
        <v>1</v>
      </c>
      <c r="S42" s="6">
        <v>2</v>
      </c>
      <c r="U42" s="6" t="s">
        <v>11</v>
      </c>
      <c r="V42" s="8">
        <f>LOOKUP(V36,RR!AH19:AH31,RR!AS19:AS31)</f>
        <v>71</v>
      </c>
      <c r="W42" s="8">
        <f>LOOKUP(W36,RR!AH19:AH27,RR!AU19:AU27)</f>
        <v>76</v>
      </c>
      <c r="X42" s="8">
        <f>LOOKUP(X35,RR!AH19:AH26,RR!AW19:AW26)</f>
        <v>81</v>
      </c>
      <c r="Y42" s="8">
        <f>LOOKUP(Y36,RR!AH19:AH34,RR!AY19:AY34)</f>
        <v>79</v>
      </c>
      <c r="Z42" s="8">
        <f>LOOKUP(Z36,RR!AH19:AH26,RR!BA19:BA26)</f>
        <v>68</v>
      </c>
      <c r="AA42" s="8">
        <f>LOOKUP(AA36,RR!AH19:AH61,RR!BC19:BC61)</f>
        <v>84</v>
      </c>
      <c r="AB42" s="8"/>
      <c r="AC42" s="8"/>
      <c r="AD42" s="8"/>
      <c r="AE42" s="8"/>
      <c r="AH42" s="9">
        <v>23</v>
      </c>
      <c r="AI42" s="9"/>
      <c r="AJ42" s="9"/>
      <c r="AK42" s="9"/>
      <c r="AL42" s="9"/>
      <c r="AM42" s="9"/>
      <c r="AN42" s="9"/>
      <c r="AO42" s="9"/>
      <c r="AP42" s="9"/>
      <c r="AQ42" s="9">
        <v>66</v>
      </c>
      <c r="AR42" s="9">
        <v>92</v>
      </c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>
        <v>60</v>
      </c>
      <c r="BD42" s="9">
        <v>83</v>
      </c>
      <c r="BE42" s="9">
        <v>69</v>
      </c>
      <c r="BF42" s="9">
        <v>99</v>
      </c>
      <c r="BG42" s="9"/>
      <c r="BH42" s="9"/>
      <c r="BI42" s="9"/>
      <c r="BJ42" s="9"/>
      <c r="BK42" s="9"/>
      <c r="BL42" s="9"/>
      <c r="BM42" s="9">
        <v>53</v>
      </c>
      <c r="BN42" s="9">
        <v>60</v>
      </c>
      <c r="BP42" s="6">
        <v>24</v>
      </c>
      <c r="BQ42" s="6" t="s">
        <v>40</v>
      </c>
      <c r="BR42" s="6" t="s">
        <v>45</v>
      </c>
    </row>
    <row r="43" spans="2:70" hidden="1" x14ac:dyDescent="0.2">
      <c r="B43" s="6">
        <v>33</v>
      </c>
      <c r="C43" s="6">
        <f>IF('DATOS Y RESPUESTAS'!C50="x",1,0)</f>
        <v>1</v>
      </c>
      <c r="S43" s="6">
        <v>3</v>
      </c>
      <c r="U43" s="6" t="s">
        <v>13</v>
      </c>
      <c r="V43" s="8">
        <f>LOOKUP(V37,RR!AH19:AH42,RR!BE19:BE42)</f>
        <v>69</v>
      </c>
      <c r="W43" s="8">
        <f>LOOKUP(W37,RR!AH19:AH26,RR!BG19:BG26)</f>
        <v>68</v>
      </c>
      <c r="X43" s="8">
        <f>LOOKUP(,RR!AH19:AH26,RR!BI19:BI26)</f>
        <v>25</v>
      </c>
      <c r="Y43" s="8" t="s">
        <v>16</v>
      </c>
      <c r="Z43" s="8">
        <f>LOOKUP(Z37,RR!AH19:AH26,RR!BK19:BK26)</f>
        <v>63</v>
      </c>
      <c r="AA43" s="8">
        <f>LOOKUP(AA37,RR!AH19:AH56,RR!BM19:BM56)</f>
        <v>69</v>
      </c>
      <c r="AB43" s="8"/>
      <c r="AC43" s="8"/>
      <c r="AD43" s="8"/>
      <c r="AE43" s="8"/>
      <c r="AH43" s="9">
        <v>24</v>
      </c>
      <c r="AI43" s="9"/>
      <c r="AJ43" s="9"/>
      <c r="AK43" s="9"/>
      <c r="AL43" s="9"/>
      <c r="AM43" s="9"/>
      <c r="AN43" s="9"/>
      <c r="AO43" s="9"/>
      <c r="AP43" s="9"/>
      <c r="AQ43" s="9">
        <v>68</v>
      </c>
      <c r="AR43" s="9">
        <v>94</v>
      </c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>
        <v>61</v>
      </c>
      <c r="BD43" s="9">
        <v>86</v>
      </c>
      <c r="BE43" s="9"/>
      <c r="BF43" s="9"/>
      <c r="BG43" s="9"/>
      <c r="BH43" s="9"/>
      <c r="BI43" s="9"/>
      <c r="BJ43" s="9"/>
      <c r="BK43" s="9"/>
      <c r="BL43" s="9"/>
      <c r="BM43" s="9">
        <v>54</v>
      </c>
      <c r="BN43" s="9">
        <v>63</v>
      </c>
      <c r="BP43" s="6">
        <v>25</v>
      </c>
      <c r="BQ43" s="6" t="s">
        <v>40</v>
      </c>
      <c r="BR43" s="6" t="s">
        <v>45</v>
      </c>
    </row>
    <row r="44" spans="2:70" hidden="1" x14ac:dyDescent="0.2">
      <c r="B44" s="6">
        <v>34</v>
      </c>
      <c r="C44" s="6">
        <f>IF('DATOS Y RESPUESTAS'!C51="x",1,0)</f>
        <v>1</v>
      </c>
      <c r="V44" s="8"/>
      <c r="W44" s="8"/>
      <c r="X44" s="8"/>
      <c r="Y44" s="8"/>
      <c r="Z44" s="8"/>
      <c r="AA44" s="8"/>
      <c r="AB44" s="8"/>
      <c r="AC44" s="8"/>
      <c r="AD44" s="8"/>
      <c r="AE44" s="8"/>
      <c r="AH44" s="9">
        <v>25</v>
      </c>
      <c r="AI44" s="9"/>
      <c r="AJ44" s="9"/>
      <c r="AK44" s="9"/>
      <c r="AL44" s="9"/>
      <c r="AM44" s="9"/>
      <c r="AN44" s="9"/>
      <c r="AO44" s="9"/>
      <c r="AP44" s="9"/>
      <c r="AQ44" s="9">
        <v>70</v>
      </c>
      <c r="AR44" s="9">
        <v>96</v>
      </c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>
        <v>63</v>
      </c>
      <c r="BD44" s="9">
        <v>88</v>
      </c>
      <c r="BE44" s="9"/>
      <c r="BF44" s="9"/>
      <c r="BG44" s="9"/>
      <c r="BH44" s="9"/>
      <c r="BI44" s="9"/>
      <c r="BJ44" s="9"/>
      <c r="BK44" s="9"/>
      <c r="BL44" s="9"/>
      <c r="BM44" s="9">
        <v>55</v>
      </c>
      <c r="BN44" s="9">
        <v>66</v>
      </c>
      <c r="BP44" s="6">
        <v>26</v>
      </c>
      <c r="BQ44" s="6" t="s">
        <v>40</v>
      </c>
      <c r="BR44" s="6" t="s">
        <v>45</v>
      </c>
    </row>
    <row r="45" spans="2:70" hidden="1" x14ac:dyDescent="0.2">
      <c r="B45" s="6">
        <v>35</v>
      </c>
      <c r="C45" s="6">
        <f>IF('DATOS Y RESPUESTAS'!C52="x",1,0)</f>
        <v>1</v>
      </c>
      <c r="S45" s="6">
        <v>1</v>
      </c>
      <c r="U45" s="6" t="s">
        <v>4</v>
      </c>
      <c r="V45" s="8">
        <f>LOOKUP(V35,AH19:AH33,AJ19:AJ33)</f>
        <v>99</v>
      </c>
      <c r="W45" s="8">
        <f>LOOKUP(W35,AH19:AH28,AL19:AL28)</f>
        <v>99</v>
      </c>
      <c r="X45" s="8">
        <f>LOOKUP(X35,AH19:AH26,AN19:AN26)</f>
        <v>99</v>
      </c>
      <c r="Y45" s="8" t="s">
        <v>16</v>
      </c>
      <c r="Z45" s="8">
        <f>LOOKUP(Z35,AH19:AH25,AP19:AP25)</f>
        <v>93</v>
      </c>
      <c r="AA45" s="8">
        <f>LOOKUP(AA35,AH19:AH49,AR19:AR49)</f>
        <v>99</v>
      </c>
      <c r="AB45" s="8"/>
      <c r="AC45" s="8"/>
      <c r="AD45" s="8"/>
      <c r="AE45" s="8"/>
      <c r="AH45" s="9">
        <v>26</v>
      </c>
      <c r="AI45" s="9"/>
      <c r="AJ45" s="9"/>
      <c r="AK45" s="9"/>
      <c r="AL45" s="9"/>
      <c r="AM45" s="9"/>
      <c r="AN45" s="9"/>
      <c r="AO45" s="9"/>
      <c r="AP45" s="9"/>
      <c r="AQ45" s="9">
        <v>71</v>
      </c>
      <c r="AR45" s="9">
        <v>97</v>
      </c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>
        <v>64</v>
      </c>
      <c r="BD45" s="9">
        <v>89</v>
      </c>
      <c r="BE45" s="9"/>
      <c r="BF45" s="9"/>
      <c r="BG45" s="9"/>
      <c r="BH45" s="9"/>
      <c r="BI45" s="9"/>
      <c r="BJ45" s="9"/>
      <c r="BK45" s="9"/>
      <c r="BL45" s="9"/>
      <c r="BM45" s="9">
        <v>57</v>
      </c>
      <c r="BN45" s="9">
        <v>70</v>
      </c>
      <c r="BP45" s="6">
        <v>27</v>
      </c>
      <c r="BQ45" s="6" t="s">
        <v>40</v>
      </c>
      <c r="BR45" s="6" t="s">
        <v>45</v>
      </c>
    </row>
    <row r="46" spans="2:70" hidden="1" x14ac:dyDescent="0.2">
      <c r="B46" s="6">
        <v>36</v>
      </c>
      <c r="C46" s="6">
        <f>IF('DATOS Y RESPUESTAS'!C53="x",1,0)</f>
        <v>1</v>
      </c>
      <c r="S46" s="6">
        <v>2</v>
      </c>
      <c r="U46" s="6" t="s">
        <v>11</v>
      </c>
      <c r="V46" s="8">
        <f>LOOKUP(V36,AH19:AH31,AT19:AT31)</f>
        <v>99</v>
      </c>
      <c r="W46" s="8">
        <f>LOOKUP(W36,AH19:AH27,AV19:AV27)</f>
        <v>99</v>
      </c>
      <c r="X46" s="8">
        <f>LOOKUP(X36,AH19:AH26,AX19:AX26)</f>
        <v>99</v>
      </c>
      <c r="Y46" s="8">
        <f>LOOKUP(Y36,AH19:AH34,AZ19:AZ34)</f>
        <v>99</v>
      </c>
      <c r="Z46" s="8">
        <f>LOOKUP(Z36,AH19:AH26,BB19:BB26)</f>
        <v>98</v>
      </c>
      <c r="AA46" s="8">
        <f>LOOKUP(AA36,AH19:AH61,BD19:BD61)</f>
        <v>99</v>
      </c>
      <c r="AB46" s="8"/>
      <c r="AC46" s="8"/>
      <c r="AD46" s="8"/>
      <c r="AE46" s="8"/>
      <c r="AH46" s="9">
        <v>27</v>
      </c>
      <c r="AI46" s="9"/>
      <c r="AJ46" s="9"/>
      <c r="AK46" s="9"/>
      <c r="AL46" s="9"/>
      <c r="AM46" s="9"/>
      <c r="AN46" s="9"/>
      <c r="AO46" s="9"/>
      <c r="AP46" s="9"/>
      <c r="AQ46" s="9">
        <v>72</v>
      </c>
      <c r="AR46" s="9">
        <v>98</v>
      </c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>
        <v>65</v>
      </c>
      <c r="BD46" s="9">
        <v>91</v>
      </c>
      <c r="BE46" s="9"/>
      <c r="BF46" s="9"/>
      <c r="BG46" s="9"/>
      <c r="BH46" s="9"/>
      <c r="BI46" s="9"/>
      <c r="BJ46" s="9"/>
      <c r="BK46" s="9"/>
      <c r="BL46" s="9"/>
      <c r="BM46" s="9">
        <v>58</v>
      </c>
      <c r="BN46" s="9">
        <v>74</v>
      </c>
      <c r="BP46" s="6">
        <v>28</v>
      </c>
      <c r="BQ46" s="6" t="s">
        <v>40</v>
      </c>
      <c r="BR46" s="6" t="s">
        <v>45</v>
      </c>
    </row>
    <row r="47" spans="2:70" hidden="1" x14ac:dyDescent="0.2">
      <c r="B47" s="6">
        <v>37</v>
      </c>
      <c r="C47" s="6">
        <f>IF('DATOS Y RESPUESTAS'!C54="x",1,0)</f>
        <v>1</v>
      </c>
      <c r="S47" s="6">
        <v>3</v>
      </c>
      <c r="U47" s="6" t="s">
        <v>13</v>
      </c>
      <c r="V47" s="8">
        <f>LOOKUP(V37,AH19:AH42,BF19:BF42)</f>
        <v>99</v>
      </c>
      <c r="W47" s="8">
        <f>LOOKUP(W37,AH19:AH26,BG19:BG26)</f>
        <v>68</v>
      </c>
      <c r="X47" s="8">
        <f>LOOKUP(X37,AH19:AH26,BI19:BI26)</f>
        <v>61</v>
      </c>
      <c r="Y47" s="8" t="s">
        <v>16</v>
      </c>
      <c r="Z47" s="8">
        <f>LOOKUP(Z37,AH19:AH26,BL19:BL26)</f>
        <v>93</v>
      </c>
      <c r="AA47" s="8">
        <f>LOOKUP(AA37,AH19:AH56,BN19:BN56)</f>
        <v>99</v>
      </c>
      <c r="AB47" s="8"/>
      <c r="AC47" s="8"/>
      <c r="AD47" s="8"/>
      <c r="AE47" s="8"/>
      <c r="AH47" s="9">
        <v>28</v>
      </c>
      <c r="AI47" s="9"/>
      <c r="AJ47" s="9"/>
      <c r="AK47" s="9"/>
      <c r="AL47" s="9"/>
      <c r="AM47" s="9"/>
      <c r="AN47" s="9"/>
      <c r="AO47" s="9"/>
      <c r="AP47" s="9"/>
      <c r="AQ47" s="9">
        <v>74</v>
      </c>
      <c r="AR47" s="9">
        <v>99</v>
      </c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>
        <v>66</v>
      </c>
      <c r="BD47" s="9">
        <v>93</v>
      </c>
      <c r="BE47" s="9"/>
      <c r="BF47" s="9"/>
      <c r="BG47" s="9"/>
      <c r="BH47" s="9"/>
      <c r="BI47" s="9"/>
      <c r="BJ47" s="9"/>
      <c r="BK47" s="9"/>
      <c r="BL47" s="9"/>
      <c r="BM47" s="9">
        <v>59</v>
      </c>
      <c r="BN47" s="9">
        <v>78</v>
      </c>
      <c r="BP47" s="6">
        <v>29</v>
      </c>
      <c r="BQ47" s="6" t="s">
        <v>40</v>
      </c>
      <c r="BR47" s="6" t="s">
        <v>45</v>
      </c>
    </row>
    <row r="48" spans="2:70" hidden="1" x14ac:dyDescent="0.2">
      <c r="B48" s="6">
        <v>38</v>
      </c>
      <c r="C48" s="6">
        <f>IF('DATOS Y RESPUESTAS'!C55="x",1,0)</f>
        <v>1</v>
      </c>
      <c r="AH48" s="9">
        <v>29</v>
      </c>
      <c r="AI48" s="9"/>
      <c r="AJ48" s="9"/>
      <c r="AK48" s="9"/>
      <c r="AL48" s="9"/>
      <c r="AM48" s="9"/>
      <c r="AN48" s="9"/>
      <c r="AO48" s="9"/>
      <c r="AP48" s="9"/>
      <c r="AQ48" s="9">
        <v>75</v>
      </c>
      <c r="AR48" s="9">
        <v>99</v>
      </c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>
        <v>68</v>
      </c>
      <c r="BD48" s="9">
        <v>94</v>
      </c>
      <c r="BE48" s="9"/>
      <c r="BF48" s="9"/>
      <c r="BG48" s="9"/>
      <c r="BH48" s="9"/>
      <c r="BI48" s="9"/>
      <c r="BJ48" s="9"/>
      <c r="BK48" s="9"/>
      <c r="BL48" s="9"/>
      <c r="BM48" s="9">
        <v>60</v>
      </c>
      <c r="BN48" s="9">
        <v>81</v>
      </c>
      <c r="BP48" s="6">
        <v>30</v>
      </c>
      <c r="BQ48" s="6" t="s">
        <v>40</v>
      </c>
      <c r="BR48" s="6" t="s">
        <v>45</v>
      </c>
    </row>
    <row r="49" spans="2:70" hidden="1" x14ac:dyDescent="0.2">
      <c r="B49" s="6">
        <v>39</v>
      </c>
      <c r="C49" s="6">
        <f>IF('DATOS Y RESPUESTAS'!C56="x",1,0)</f>
        <v>1</v>
      </c>
      <c r="AH49" s="9">
        <v>30</v>
      </c>
      <c r="AI49" s="9"/>
      <c r="AJ49" s="9"/>
      <c r="AK49" s="9"/>
      <c r="AL49" s="9"/>
      <c r="AM49" s="9"/>
      <c r="AN49" s="9"/>
      <c r="AO49" s="9"/>
      <c r="AP49" s="9"/>
      <c r="AQ49" s="9">
        <v>77</v>
      </c>
      <c r="AR49" s="9">
        <v>99</v>
      </c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>
        <v>69</v>
      </c>
      <c r="BD49" s="9">
        <v>95</v>
      </c>
      <c r="BE49" s="9"/>
      <c r="BF49" s="9"/>
      <c r="BG49" s="9"/>
      <c r="BH49" s="9"/>
      <c r="BI49" s="9"/>
      <c r="BJ49" s="9"/>
      <c r="BK49" s="9"/>
      <c r="BL49" s="9"/>
      <c r="BM49" s="9">
        <v>61</v>
      </c>
      <c r="BN49" s="9">
        <v>84</v>
      </c>
      <c r="BP49" s="6">
        <v>31</v>
      </c>
      <c r="BQ49" s="6" t="s">
        <v>40</v>
      </c>
      <c r="BR49" s="6" t="s">
        <v>45</v>
      </c>
    </row>
    <row r="50" spans="2:70" hidden="1" x14ac:dyDescent="0.2">
      <c r="B50" s="6">
        <v>40</v>
      </c>
      <c r="C50" s="6">
        <f>IF('DATOS Y RESPUESTAS'!C57="x",1,0)</f>
        <v>1</v>
      </c>
      <c r="AH50" s="9">
        <v>31</v>
      </c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>
        <v>70</v>
      </c>
      <c r="BD50" s="9">
        <v>96</v>
      </c>
      <c r="BE50" s="9"/>
      <c r="BF50" s="9"/>
      <c r="BG50" s="9"/>
      <c r="BH50" s="9"/>
      <c r="BI50" s="9"/>
      <c r="BJ50" s="9"/>
      <c r="BK50" s="9"/>
      <c r="BL50" s="9"/>
      <c r="BM50" s="9">
        <v>62</v>
      </c>
      <c r="BN50" s="9">
        <v>87</v>
      </c>
      <c r="BP50" s="6">
        <v>32</v>
      </c>
      <c r="BQ50" s="6" t="s">
        <v>40</v>
      </c>
      <c r="BR50" s="6" t="s">
        <v>45</v>
      </c>
    </row>
    <row r="51" spans="2:70" hidden="1" x14ac:dyDescent="0.2">
      <c r="B51" s="6">
        <v>41</v>
      </c>
      <c r="C51" s="6">
        <f>IF('DATOS Y RESPUESTAS'!C58="x",1,0)</f>
        <v>1</v>
      </c>
      <c r="AH51" s="9">
        <v>32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>
        <v>71</v>
      </c>
      <c r="BD51" s="9">
        <v>97</v>
      </c>
      <c r="BE51" s="9"/>
      <c r="BF51" s="9"/>
      <c r="BG51" s="9"/>
      <c r="BH51" s="9"/>
      <c r="BI51" s="9"/>
      <c r="BJ51" s="9"/>
      <c r="BK51" s="9"/>
      <c r="BL51" s="9"/>
      <c r="BM51" s="9">
        <v>63</v>
      </c>
      <c r="BN51" s="9">
        <v>89</v>
      </c>
      <c r="BP51" s="6">
        <v>33</v>
      </c>
      <c r="BQ51" s="6" t="s">
        <v>40</v>
      </c>
      <c r="BR51" s="6" t="s">
        <v>45</v>
      </c>
    </row>
    <row r="52" spans="2:70" hidden="1" x14ac:dyDescent="0.2">
      <c r="B52" s="6">
        <v>42</v>
      </c>
      <c r="C52" s="6">
        <f>IF('DATOS Y RESPUESTAS'!C59="x",1,0)</f>
        <v>1</v>
      </c>
      <c r="AH52" s="9">
        <v>33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>
        <v>73</v>
      </c>
      <c r="BD52" s="9">
        <v>97</v>
      </c>
      <c r="BE52" s="9"/>
      <c r="BF52" s="9"/>
      <c r="BG52" s="9"/>
      <c r="BH52" s="9"/>
      <c r="BI52" s="9"/>
      <c r="BJ52" s="9"/>
      <c r="BK52" s="9"/>
      <c r="BL52" s="9"/>
      <c r="BM52" s="9">
        <v>64</v>
      </c>
      <c r="BN52" s="9">
        <v>92</v>
      </c>
      <c r="BP52" s="6">
        <v>34</v>
      </c>
      <c r="BQ52" s="6" t="s">
        <v>40</v>
      </c>
      <c r="BR52" s="6" t="s">
        <v>45</v>
      </c>
    </row>
    <row r="53" spans="2:70" hidden="1" x14ac:dyDescent="0.2">
      <c r="B53" s="6">
        <v>43</v>
      </c>
      <c r="C53" s="6">
        <f>IF('DATOS Y RESPUESTAS'!C60="x",1,0)</f>
        <v>1</v>
      </c>
      <c r="AH53" s="9">
        <v>34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>
        <v>74</v>
      </c>
      <c r="BD53" s="9">
        <v>98</v>
      </c>
      <c r="BE53" s="9"/>
      <c r="BF53" s="9"/>
      <c r="BG53" s="9"/>
      <c r="BH53" s="9"/>
      <c r="BI53" s="9"/>
      <c r="BJ53" s="9"/>
      <c r="BK53" s="9"/>
      <c r="BL53" s="9"/>
      <c r="BM53" s="9">
        <v>66</v>
      </c>
      <c r="BN53" s="9">
        <v>95</v>
      </c>
      <c r="BP53" s="6">
        <v>35</v>
      </c>
      <c r="BQ53" s="6" t="s">
        <v>40</v>
      </c>
      <c r="BR53" s="6" t="s">
        <v>45</v>
      </c>
    </row>
    <row r="54" spans="2:70" hidden="1" x14ac:dyDescent="0.2">
      <c r="B54" s="6">
        <v>44</v>
      </c>
      <c r="C54" s="6">
        <f>IF('DATOS Y RESPUESTAS'!C61="x",1,0)</f>
        <v>1</v>
      </c>
      <c r="AH54" s="9">
        <v>35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>
        <v>75</v>
      </c>
      <c r="BD54" s="9">
        <v>98</v>
      </c>
      <c r="BE54" s="9"/>
      <c r="BF54" s="9"/>
      <c r="BG54" s="9"/>
      <c r="BH54" s="9"/>
      <c r="BI54" s="9"/>
      <c r="BJ54" s="9"/>
      <c r="BK54" s="9"/>
      <c r="BL54" s="9"/>
      <c r="BM54" s="9">
        <v>67</v>
      </c>
      <c r="BN54" s="9">
        <v>97</v>
      </c>
      <c r="BP54" s="6">
        <v>36</v>
      </c>
      <c r="BQ54" s="6" t="s">
        <v>40</v>
      </c>
      <c r="BR54" s="6" t="s">
        <v>45</v>
      </c>
    </row>
    <row r="55" spans="2:70" hidden="1" x14ac:dyDescent="0.2">
      <c r="B55" s="6">
        <v>45</v>
      </c>
      <c r="C55" s="6">
        <f>IF('DATOS Y RESPUESTAS'!C62="x",1,0)</f>
        <v>1</v>
      </c>
      <c r="AH55" s="9">
        <v>36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>
        <v>76</v>
      </c>
      <c r="BD55" s="9">
        <v>99</v>
      </c>
      <c r="BE55" s="9"/>
      <c r="BF55" s="9"/>
      <c r="BG55" s="9"/>
      <c r="BH55" s="9"/>
      <c r="BI55" s="9"/>
      <c r="BJ55" s="9"/>
      <c r="BK55" s="9"/>
      <c r="BL55" s="9"/>
      <c r="BM55" s="9">
        <v>68</v>
      </c>
      <c r="BN55" s="9">
        <v>98</v>
      </c>
      <c r="BP55" s="6">
        <v>37</v>
      </c>
      <c r="BQ55" s="6" t="s">
        <v>40</v>
      </c>
      <c r="BR55" s="6" t="s">
        <v>45</v>
      </c>
    </row>
    <row r="56" spans="2:70" hidden="1" x14ac:dyDescent="0.2">
      <c r="B56" s="6">
        <v>46</v>
      </c>
      <c r="C56" s="6">
        <f>IF('DATOS Y RESPUESTAS'!C63="x",1,0)</f>
        <v>1</v>
      </c>
      <c r="AH56" s="9">
        <v>37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>
        <v>77</v>
      </c>
      <c r="BD56" s="9">
        <v>99</v>
      </c>
      <c r="BE56" s="9"/>
      <c r="BF56" s="9"/>
      <c r="BG56" s="9"/>
      <c r="BH56" s="9"/>
      <c r="BI56" s="9"/>
      <c r="BJ56" s="9"/>
      <c r="BK56" s="9"/>
      <c r="BL56" s="9"/>
      <c r="BM56" s="9">
        <v>69</v>
      </c>
      <c r="BN56" s="9">
        <v>99</v>
      </c>
      <c r="BP56" s="6">
        <v>38</v>
      </c>
      <c r="BQ56" s="6" t="s">
        <v>40</v>
      </c>
      <c r="BR56" s="6" t="s">
        <v>45</v>
      </c>
    </row>
    <row r="57" spans="2:70" hidden="1" x14ac:dyDescent="0.2">
      <c r="B57" s="6">
        <v>47</v>
      </c>
      <c r="C57" s="6">
        <f>IF('DATOS Y RESPUESTAS'!C64="x",1,0)</f>
        <v>1</v>
      </c>
      <c r="AH57" s="9">
        <v>38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>
        <v>79</v>
      </c>
      <c r="BD57" s="9">
        <v>99</v>
      </c>
      <c r="BE57" s="9"/>
      <c r="BF57" s="9"/>
      <c r="BG57" s="9"/>
      <c r="BH57" s="9"/>
      <c r="BI57" s="9"/>
      <c r="BJ57" s="9"/>
      <c r="BK57" s="9"/>
      <c r="BL57" s="9"/>
      <c r="BM57" s="9"/>
      <c r="BN57" s="9"/>
      <c r="BP57" s="6">
        <v>39</v>
      </c>
      <c r="BQ57" s="6" t="s">
        <v>40</v>
      </c>
      <c r="BR57" s="6" t="s">
        <v>45</v>
      </c>
    </row>
    <row r="58" spans="2:70" hidden="1" x14ac:dyDescent="0.2">
      <c r="B58" s="6">
        <v>48</v>
      </c>
      <c r="C58" s="6">
        <f>IF('DATOS Y RESPUESTAS'!C65="x",1,0)</f>
        <v>1</v>
      </c>
      <c r="AH58" s="9">
        <v>39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>
        <v>80</v>
      </c>
      <c r="BD58" s="9">
        <v>99</v>
      </c>
      <c r="BE58" s="9"/>
      <c r="BF58" s="9"/>
      <c r="BG58" s="9"/>
      <c r="BH58" s="9"/>
      <c r="BI58" s="9"/>
      <c r="BJ58" s="9"/>
      <c r="BK58" s="9"/>
      <c r="BL58" s="9"/>
      <c r="BM58" s="9"/>
      <c r="BN58" s="9"/>
      <c r="BP58" s="6">
        <v>40</v>
      </c>
      <c r="BQ58" s="6" t="s">
        <v>40</v>
      </c>
      <c r="BR58" s="6" t="s">
        <v>45</v>
      </c>
    </row>
    <row r="59" spans="2:70" hidden="1" x14ac:dyDescent="0.2">
      <c r="B59" s="6">
        <v>49</v>
      </c>
      <c r="C59" s="6">
        <f>IF('DATOS Y RESPUESTAS'!C66="x",1,0)</f>
        <v>1</v>
      </c>
      <c r="AH59" s="9">
        <v>40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>
        <v>81</v>
      </c>
      <c r="BD59" s="9">
        <v>99</v>
      </c>
      <c r="BE59" s="9"/>
      <c r="BF59" s="9"/>
      <c r="BG59" s="9"/>
      <c r="BH59" s="9"/>
      <c r="BI59" s="9"/>
      <c r="BJ59" s="9"/>
      <c r="BK59" s="9"/>
      <c r="BL59" s="9"/>
      <c r="BM59" s="9"/>
      <c r="BN59" s="9"/>
      <c r="BP59" s="6">
        <v>41</v>
      </c>
      <c r="BQ59" s="6" t="s">
        <v>40</v>
      </c>
      <c r="BR59" s="6" t="s">
        <v>45</v>
      </c>
    </row>
    <row r="60" spans="2:70" hidden="1" x14ac:dyDescent="0.2">
      <c r="AH60" s="9">
        <v>41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>
        <v>82</v>
      </c>
      <c r="BD60" s="9">
        <v>99</v>
      </c>
      <c r="BE60" s="9"/>
      <c r="BF60" s="9"/>
      <c r="BG60" s="9"/>
      <c r="BH60" s="9"/>
      <c r="BI60" s="9"/>
      <c r="BJ60" s="9"/>
      <c r="BK60" s="9"/>
      <c r="BL60" s="9"/>
      <c r="BM60" s="9"/>
      <c r="BN60" s="9"/>
      <c r="BP60" s="6">
        <v>42</v>
      </c>
      <c r="BQ60" s="6" t="s">
        <v>40</v>
      </c>
      <c r="BR60" s="6" t="s">
        <v>45</v>
      </c>
    </row>
    <row r="61" spans="2:70" hidden="1" x14ac:dyDescent="0.2">
      <c r="AH61" s="9">
        <v>42</v>
      </c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>
        <v>84</v>
      </c>
      <c r="BD61" s="9">
        <v>99</v>
      </c>
      <c r="BE61" s="9"/>
      <c r="BF61" s="9"/>
      <c r="BG61" s="9"/>
      <c r="BH61" s="9"/>
      <c r="BI61" s="9"/>
      <c r="BJ61" s="9"/>
      <c r="BK61" s="9"/>
      <c r="BL61" s="9"/>
      <c r="BM61" s="9"/>
      <c r="BN61" s="9"/>
      <c r="BP61" s="6">
        <v>43</v>
      </c>
      <c r="BQ61" s="6" t="s">
        <v>40</v>
      </c>
      <c r="BR61" s="6" t="s">
        <v>45</v>
      </c>
    </row>
    <row r="62" spans="2:70" hidden="1" x14ac:dyDescent="0.2">
      <c r="AH62" s="9">
        <v>43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P62" s="6">
        <v>44</v>
      </c>
      <c r="BQ62" s="6" t="s">
        <v>40</v>
      </c>
      <c r="BR62" s="6" t="s">
        <v>45</v>
      </c>
    </row>
    <row r="63" spans="2:70" hidden="1" x14ac:dyDescent="0.2">
      <c r="AH63" s="9">
        <v>44</v>
      </c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P63" s="6">
        <v>45</v>
      </c>
      <c r="BQ63" s="6" t="s">
        <v>41</v>
      </c>
      <c r="BR63" s="6" t="s">
        <v>46</v>
      </c>
    </row>
    <row r="64" spans="2:70" hidden="1" x14ac:dyDescent="0.2">
      <c r="AH64" s="9">
        <v>45</v>
      </c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P64" s="6">
        <v>46</v>
      </c>
      <c r="BQ64" s="6" t="s">
        <v>41</v>
      </c>
      <c r="BR64" s="6" t="s">
        <v>46</v>
      </c>
    </row>
    <row r="65" spans="34:70" hidden="1" x14ac:dyDescent="0.2">
      <c r="AH65" s="9">
        <v>46</v>
      </c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P65" s="6">
        <v>47</v>
      </c>
      <c r="BQ65" s="6" t="s">
        <v>41</v>
      </c>
      <c r="BR65" s="6" t="s">
        <v>46</v>
      </c>
    </row>
    <row r="66" spans="34:70" hidden="1" x14ac:dyDescent="0.2">
      <c r="AH66" s="9">
        <v>47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P66" s="6">
        <v>48</v>
      </c>
      <c r="BQ66" s="6" t="s">
        <v>41</v>
      </c>
      <c r="BR66" s="6" t="s">
        <v>46</v>
      </c>
    </row>
    <row r="67" spans="34:70" hidden="1" x14ac:dyDescent="0.2">
      <c r="AH67" s="9">
        <v>48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P67" s="6">
        <v>49</v>
      </c>
      <c r="BQ67" s="6" t="s">
        <v>41</v>
      </c>
      <c r="BR67" s="6" t="s">
        <v>46</v>
      </c>
    </row>
    <row r="68" spans="34:70" hidden="1" x14ac:dyDescent="0.2">
      <c r="AH68" s="9">
        <v>49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P68" s="6">
        <v>50</v>
      </c>
      <c r="BQ68" s="6" t="s">
        <v>41</v>
      </c>
      <c r="BR68" s="6" t="s">
        <v>46</v>
      </c>
    </row>
    <row r="69" spans="34:70" hidden="1" x14ac:dyDescent="0.2"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P69" s="6">
        <v>51</v>
      </c>
      <c r="BQ69" s="6" t="s">
        <v>41</v>
      </c>
      <c r="BR69" s="6" t="s">
        <v>46</v>
      </c>
    </row>
    <row r="70" spans="34:70" hidden="1" x14ac:dyDescent="0.2"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P70" s="6">
        <v>52</v>
      </c>
      <c r="BQ70" s="6" t="s">
        <v>41</v>
      </c>
      <c r="BR70" s="6" t="s">
        <v>46</v>
      </c>
    </row>
    <row r="71" spans="34:70" hidden="1" x14ac:dyDescent="0.2"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P71" s="6">
        <v>53</v>
      </c>
      <c r="BQ71" s="6" t="s">
        <v>41</v>
      </c>
      <c r="BR71" s="6" t="s">
        <v>46</v>
      </c>
    </row>
    <row r="72" spans="34:70" hidden="1" x14ac:dyDescent="0.2"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P72" s="6">
        <v>54</v>
      </c>
      <c r="BQ72" s="6" t="s">
        <v>41</v>
      </c>
      <c r="BR72" s="6" t="s">
        <v>46</v>
      </c>
    </row>
    <row r="73" spans="34:70" hidden="1" x14ac:dyDescent="0.2"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P73" s="6">
        <v>55</v>
      </c>
      <c r="BQ73" s="6" t="s">
        <v>42</v>
      </c>
      <c r="BR73" s="6" t="s">
        <v>46</v>
      </c>
    </row>
    <row r="74" spans="34:70" hidden="1" x14ac:dyDescent="0.2">
      <c r="BP74" s="6">
        <v>56</v>
      </c>
      <c r="BQ74" s="6" t="s">
        <v>42</v>
      </c>
      <c r="BR74" s="6" t="s">
        <v>46</v>
      </c>
    </row>
    <row r="75" spans="34:70" hidden="1" x14ac:dyDescent="0.2">
      <c r="BP75" s="6">
        <v>57</v>
      </c>
      <c r="BQ75" s="6" t="s">
        <v>42</v>
      </c>
      <c r="BR75" s="6" t="s">
        <v>46</v>
      </c>
    </row>
    <row r="76" spans="34:70" hidden="1" x14ac:dyDescent="0.2">
      <c r="BP76" s="6">
        <v>58</v>
      </c>
      <c r="BQ76" s="6" t="s">
        <v>42</v>
      </c>
      <c r="BR76" s="6" t="s">
        <v>46</v>
      </c>
    </row>
    <row r="77" spans="34:70" hidden="1" x14ac:dyDescent="0.2">
      <c r="BP77" s="6">
        <v>59</v>
      </c>
      <c r="BQ77" s="6" t="s">
        <v>42</v>
      </c>
      <c r="BR77" s="6" t="s">
        <v>46</v>
      </c>
    </row>
    <row r="78" spans="34:70" hidden="1" x14ac:dyDescent="0.2">
      <c r="BP78" s="6">
        <v>60</v>
      </c>
      <c r="BQ78" s="6" t="s">
        <v>42</v>
      </c>
      <c r="BR78" s="6" t="s">
        <v>46</v>
      </c>
    </row>
    <row r="79" spans="34:70" hidden="1" x14ac:dyDescent="0.2">
      <c r="BP79" s="6">
        <v>61</v>
      </c>
      <c r="BQ79" s="6" t="s">
        <v>42</v>
      </c>
      <c r="BR79" s="6" t="s">
        <v>46</v>
      </c>
    </row>
    <row r="80" spans="34:70" hidden="1" x14ac:dyDescent="0.2">
      <c r="BP80" s="6">
        <v>62</v>
      </c>
      <c r="BQ80" s="6" t="s">
        <v>42</v>
      </c>
      <c r="BR80" s="6" t="s">
        <v>46</v>
      </c>
    </row>
    <row r="81" spans="68:70" hidden="1" x14ac:dyDescent="0.2">
      <c r="BP81" s="6">
        <v>63</v>
      </c>
      <c r="BQ81" s="6" t="s">
        <v>42</v>
      </c>
      <c r="BR81" s="6" t="s">
        <v>46</v>
      </c>
    </row>
    <row r="82" spans="68:70" hidden="1" x14ac:dyDescent="0.2">
      <c r="BP82" s="6">
        <v>64</v>
      </c>
      <c r="BQ82" s="6" t="s">
        <v>42</v>
      </c>
      <c r="BR82" s="6" t="s">
        <v>46</v>
      </c>
    </row>
    <row r="83" spans="68:70" hidden="1" x14ac:dyDescent="0.2">
      <c r="BP83" s="6">
        <v>65</v>
      </c>
      <c r="BQ83" s="6" t="s">
        <v>43</v>
      </c>
      <c r="BR83" s="6" t="s">
        <v>45</v>
      </c>
    </row>
    <row r="84" spans="68:70" hidden="1" x14ac:dyDescent="0.2">
      <c r="BP84" s="6">
        <v>66</v>
      </c>
      <c r="BQ84" s="6" t="s">
        <v>43</v>
      </c>
      <c r="BR84" s="6" t="s">
        <v>45</v>
      </c>
    </row>
    <row r="85" spans="68:70" hidden="1" x14ac:dyDescent="0.2">
      <c r="BP85" s="6">
        <v>67</v>
      </c>
      <c r="BQ85" s="6" t="s">
        <v>43</v>
      </c>
      <c r="BR85" s="6" t="s">
        <v>45</v>
      </c>
    </row>
    <row r="86" spans="68:70" hidden="1" x14ac:dyDescent="0.2">
      <c r="BP86" s="6">
        <v>68</v>
      </c>
      <c r="BQ86" s="6" t="s">
        <v>43</v>
      </c>
      <c r="BR86" s="6" t="s">
        <v>45</v>
      </c>
    </row>
    <row r="87" spans="68:70" x14ac:dyDescent="0.2">
      <c r="BP87" s="6">
        <v>69</v>
      </c>
      <c r="BQ87" s="6" t="s">
        <v>43</v>
      </c>
      <c r="BR87" s="6" t="s">
        <v>45</v>
      </c>
    </row>
    <row r="88" spans="68:70" x14ac:dyDescent="0.2">
      <c r="BP88" s="6">
        <v>70</v>
      </c>
      <c r="BQ88" s="6" t="s">
        <v>43</v>
      </c>
      <c r="BR88" s="6" t="s">
        <v>45</v>
      </c>
    </row>
    <row r="89" spans="68:70" x14ac:dyDescent="0.2">
      <c r="BP89" s="6">
        <v>71</v>
      </c>
      <c r="BQ89" s="6" t="s">
        <v>43</v>
      </c>
      <c r="BR89" s="6" t="s">
        <v>45</v>
      </c>
    </row>
    <row r="90" spans="68:70" x14ac:dyDescent="0.2">
      <c r="BP90" s="6">
        <v>72</v>
      </c>
      <c r="BQ90" s="6" t="s">
        <v>43</v>
      </c>
      <c r="BR90" s="6" t="s">
        <v>45</v>
      </c>
    </row>
    <row r="91" spans="68:70" x14ac:dyDescent="0.2">
      <c r="BP91" s="6">
        <v>73</v>
      </c>
      <c r="BQ91" s="6" t="s">
        <v>43</v>
      </c>
      <c r="BR91" s="6" t="s">
        <v>45</v>
      </c>
    </row>
    <row r="92" spans="68:70" x14ac:dyDescent="0.2">
      <c r="BP92" s="6">
        <v>74</v>
      </c>
      <c r="BQ92" s="6" t="s">
        <v>43</v>
      </c>
      <c r="BR92" s="6" t="s">
        <v>45</v>
      </c>
    </row>
    <row r="93" spans="68:70" x14ac:dyDescent="0.2">
      <c r="BP93" s="6">
        <v>75</v>
      </c>
      <c r="BQ93" s="6" t="s">
        <v>44</v>
      </c>
      <c r="BR93" s="6" t="s">
        <v>47</v>
      </c>
    </row>
    <row r="94" spans="68:70" x14ac:dyDescent="0.2">
      <c r="BP94" s="6">
        <v>76</v>
      </c>
      <c r="BQ94" s="6" t="s">
        <v>44</v>
      </c>
      <c r="BR94" s="6" t="s">
        <v>47</v>
      </c>
    </row>
    <row r="95" spans="68:70" x14ac:dyDescent="0.2">
      <c r="BP95" s="6">
        <v>77</v>
      </c>
      <c r="BQ95" s="6" t="s">
        <v>44</v>
      </c>
      <c r="BR95" s="6" t="s">
        <v>47</v>
      </c>
    </row>
    <row r="96" spans="68:70" x14ac:dyDescent="0.2">
      <c r="BP96" s="6">
        <v>78</v>
      </c>
      <c r="BQ96" s="6" t="s">
        <v>44</v>
      </c>
      <c r="BR96" s="6" t="s">
        <v>47</v>
      </c>
    </row>
    <row r="97" spans="68:70" x14ac:dyDescent="0.2">
      <c r="BP97" s="6">
        <v>79</v>
      </c>
      <c r="BQ97" s="6" t="s">
        <v>44</v>
      </c>
      <c r="BR97" s="6" t="s">
        <v>47</v>
      </c>
    </row>
    <row r="98" spans="68:70" x14ac:dyDescent="0.2">
      <c r="BP98" s="6">
        <v>80</v>
      </c>
      <c r="BQ98" s="6" t="s">
        <v>44</v>
      </c>
      <c r="BR98" s="6" t="s">
        <v>47</v>
      </c>
    </row>
    <row r="99" spans="68:70" x14ac:dyDescent="0.2">
      <c r="BP99" s="6">
        <v>81</v>
      </c>
      <c r="BQ99" s="6" t="s">
        <v>44</v>
      </c>
      <c r="BR99" s="6" t="s">
        <v>47</v>
      </c>
    </row>
    <row r="100" spans="68:70" x14ac:dyDescent="0.2">
      <c r="BP100" s="6">
        <v>82</v>
      </c>
      <c r="BQ100" s="6" t="s">
        <v>44</v>
      </c>
      <c r="BR100" s="6" t="s">
        <v>47</v>
      </c>
    </row>
    <row r="101" spans="68:70" x14ac:dyDescent="0.2">
      <c r="BP101" s="6">
        <v>83</v>
      </c>
      <c r="BQ101" s="6" t="s">
        <v>44</v>
      </c>
      <c r="BR101" s="6" t="s">
        <v>47</v>
      </c>
    </row>
    <row r="102" spans="68:70" x14ac:dyDescent="0.2">
      <c r="BP102" s="6">
        <v>84</v>
      </c>
      <c r="BQ102" s="6" t="s">
        <v>44</v>
      </c>
      <c r="BR102" s="6" t="s">
        <v>47</v>
      </c>
    </row>
    <row r="103" spans="68:70" x14ac:dyDescent="0.2">
      <c r="BP103" s="6">
        <v>85</v>
      </c>
      <c r="BQ103" s="6" t="s">
        <v>44</v>
      </c>
      <c r="BR103" s="6" t="s">
        <v>47</v>
      </c>
    </row>
    <row r="104" spans="68:70" x14ac:dyDescent="0.2">
      <c r="BP104" s="6">
        <v>86</v>
      </c>
      <c r="BQ104" s="6" t="s">
        <v>44</v>
      </c>
      <c r="BR104" s="6" t="s">
        <v>47</v>
      </c>
    </row>
    <row r="105" spans="68:70" x14ac:dyDescent="0.2">
      <c r="BP105" s="6">
        <v>87</v>
      </c>
      <c r="BQ105" s="6" t="s">
        <v>44</v>
      </c>
      <c r="BR105" s="6" t="s">
        <v>47</v>
      </c>
    </row>
    <row r="106" spans="68:70" x14ac:dyDescent="0.2">
      <c r="BP106" s="6">
        <v>88</v>
      </c>
      <c r="BQ106" s="6" t="s">
        <v>44</v>
      </c>
      <c r="BR106" s="6" t="s">
        <v>47</v>
      </c>
    </row>
    <row r="107" spans="68:70" x14ac:dyDescent="0.2">
      <c r="BP107" s="6">
        <v>89</v>
      </c>
      <c r="BQ107" s="6" t="s">
        <v>44</v>
      </c>
      <c r="BR107" s="6" t="s">
        <v>47</v>
      </c>
    </row>
    <row r="108" spans="68:70" x14ac:dyDescent="0.2">
      <c r="BP108" s="6">
        <v>90</v>
      </c>
      <c r="BQ108" s="6" t="s">
        <v>44</v>
      </c>
      <c r="BR108" s="6" t="s">
        <v>47</v>
      </c>
    </row>
    <row r="109" spans="68:70" x14ac:dyDescent="0.2">
      <c r="BP109" s="6">
        <v>91</v>
      </c>
      <c r="BQ109" s="6" t="s">
        <v>44</v>
      </c>
      <c r="BR109" s="6" t="s">
        <v>47</v>
      </c>
    </row>
    <row r="110" spans="68:70" x14ac:dyDescent="0.2">
      <c r="BP110" s="6">
        <v>92</v>
      </c>
      <c r="BQ110" s="6" t="s">
        <v>44</v>
      </c>
      <c r="BR110" s="6" t="s">
        <v>47</v>
      </c>
    </row>
    <row r="111" spans="68:70" x14ac:dyDescent="0.2">
      <c r="BP111" s="6">
        <v>93</v>
      </c>
      <c r="BQ111" s="6" t="s">
        <v>44</v>
      </c>
      <c r="BR111" s="6" t="s">
        <v>47</v>
      </c>
    </row>
    <row r="112" spans="68:70" x14ac:dyDescent="0.2">
      <c r="BP112" s="6">
        <v>94</v>
      </c>
      <c r="BQ112" s="6" t="s">
        <v>44</v>
      </c>
      <c r="BR112" s="6" t="s">
        <v>47</v>
      </c>
    </row>
    <row r="113" spans="68:70" x14ac:dyDescent="0.2">
      <c r="BP113" s="6">
        <v>95</v>
      </c>
      <c r="BQ113" s="6" t="s">
        <v>44</v>
      </c>
      <c r="BR113" s="6" t="s">
        <v>47</v>
      </c>
    </row>
    <row r="114" spans="68:70" x14ac:dyDescent="0.2">
      <c r="BP114" s="6">
        <v>96</v>
      </c>
      <c r="BQ114" s="6" t="s">
        <v>44</v>
      </c>
      <c r="BR114" s="6" t="s">
        <v>47</v>
      </c>
    </row>
    <row r="115" spans="68:70" x14ac:dyDescent="0.2">
      <c r="BP115" s="6">
        <v>97</v>
      </c>
      <c r="BQ115" s="6" t="s">
        <v>44</v>
      </c>
      <c r="BR115" s="6" t="s">
        <v>47</v>
      </c>
    </row>
    <row r="116" spans="68:70" x14ac:dyDescent="0.2">
      <c r="BP116" s="6">
        <v>98</v>
      </c>
      <c r="BQ116" s="6" t="s">
        <v>44</v>
      </c>
      <c r="BR116" s="6" t="s">
        <v>47</v>
      </c>
    </row>
    <row r="117" spans="68:70" x14ac:dyDescent="0.2">
      <c r="BP117" s="6">
        <v>99</v>
      </c>
      <c r="BQ117" s="6" t="s">
        <v>44</v>
      </c>
      <c r="BR117" s="6" t="s">
        <v>47</v>
      </c>
    </row>
    <row r="118" spans="68:70" x14ac:dyDescent="0.2">
      <c r="BP118" s="6">
        <v>100</v>
      </c>
      <c r="BQ118" s="6" t="s">
        <v>44</v>
      </c>
      <c r="BR118" s="6" t="s">
        <v>47</v>
      </c>
    </row>
  </sheetData>
  <sheetProtection password="90C8" sheet="1" objects="1" scenarios="1" selectLockedCells="1" selectUnlockedCells="1"/>
  <phoneticPr fontId="2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/>
  </sheetViews>
  <sheetFormatPr baseColWidth="10" defaultRowHeight="12.75" x14ac:dyDescent="0.2"/>
  <cols>
    <col min="1" max="1" width="11.42578125" style="12"/>
    <col min="2" max="2" width="2.7109375" style="12" customWidth="1"/>
    <col min="3" max="3" width="36.5703125" style="12" customWidth="1"/>
    <col min="4" max="6" width="7.140625" style="12" customWidth="1"/>
    <col min="7" max="7" width="28.42578125" style="12" bestFit="1" customWidth="1"/>
    <col min="8" max="8" width="22.5703125" style="12" customWidth="1"/>
    <col min="9" max="16384" width="11.42578125" style="12"/>
  </cols>
  <sheetData>
    <row r="1" spans="1:8" ht="13.5" thickBot="1" x14ac:dyDescent="0.25"/>
    <row r="2" spans="1:8" ht="21" thickBot="1" x14ac:dyDescent="0.35">
      <c r="C2" s="66" t="s">
        <v>34</v>
      </c>
      <c r="D2" s="67"/>
      <c r="E2" s="67"/>
      <c r="F2" s="67"/>
      <c r="G2" s="67"/>
      <c r="H2" s="68"/>
    </row>
    <row r="4" spans="1:8" x14ac:dyDescent="0.2">
      <c r="A4" s="15" t="str">
        <f>'DATOS Y RESPUESTAS'!B5</f>
        <v>Nombre:</v>
      </c>
      <c r="B4" s="12" t="str">
        <f>'DATOS Y RESPUESTAS'!C5</f>
        <v>E.</v>
      </c>
    </row>
    <row r="5" spans="1:8" x14ac:dyDescent="0.2">
      <c r="A5" s="15" t="str">
        <f>'DATOS Y RESPUESTAS'!B6</f>
        <v>Apellidos:</v>
      </c>
      <c r="B5" s="12" t="str">
        <f>'DATOS Y RESPUESTAS'!C6</f>
        <v>E.</v>
      </c>
    </row>
    <row r="6" spans="1:8" x14ac:dyDescent="0.2">
      <c r="A6" s="15" t="str">
        <f>'DATOS Y RESPUESTAS'!B7</f>
        <v>Sexo:</v>
      </c>
      <c r="B6" s="12" t="str">
        <f>'DATOS Y RESPUESTAS'!C7</f>
        <v>E.</v>
      </c>
    </row>
    <row r="7" spans="1:8" x14ac:dyDescent="0.2">
      <c r="A7" s="15" t="str">
        <f>'DATOS Y RESPUESTAS'!B8</f>
        <v>Edad:</v>
      </c>
      <c r="B7" s="12" t="str">
        <f>'DATOS Y RESPUESTAS'!C8</f>
        <v>E.</v>
      </c>
    </row>
    <row r="8" spans="1:8" x14ac:dyDescent="0.2">
      <c r="A8" s="15" t="str">
        <f>'DATOS Y RESPUESTAS'!B9</f>
        <v>Institución:</v>
      </c>
      <c r="B8" s="12" t="str">
        <f>'DATOS Y RESPUESTAS'!C9</f>
        <v>E.</v>
      </c>
    </row>
    <row r="9" spans="1:8" x14ac:dyDescent="0.2">
      <c r="A9" s="15" t="str">
        <f>'DATOS Y RESPUESTAS'!B10</f>
        <v>Evaluador:</v>
      </c>
      <c r="B9" s="12" t="str">
        <f>'DATOS Y RESPUESTAS'!C10</f>
        <v>E.</v>
      </c>
    </row>
    <row r="10" spans="1:8" x14ac:dyDescent="0.2">
      <c r="A10" s="15" t="str">
        <f>'DATOS Y RESPUESTAS'!B11</f>
        <v>Fecha:</v>
      </c>
      <c r="B10" s="12" t="str">
        <f>'DATOS Y RESPUESTAS'!C11</f>
        <v>E.</v>
      </c>
    </row>
    <row r="11" spans="1:8" ht="13.5" thickBot="1" x14ac:dyDescent="0.25">
      <c r="A11" s="15"/>
    </row>
    <row r="12" spans="1:8" ht="13.5" thickBot="1" x14ac:dyDescent="0.25">
      <c r="A12" s="15" t="str">
        <f>'DATOS Y RESPUESTAS'!B13</f>
        <v>FORMA</v>
      </c>
      <c r="B12" s="16" t="str">
        <f>'DATOS Y RESPUESTAS'!C13</f>
        <v>A</v>
      </c>
    </row>
    <row r="14" spans="1:8" x14ac:dyDescent="0.2">
      <c r="C14" s="2" t="str">
        <f>RR!I15</f>
        <v>ÁREAS</v>
      </c>
      <c r="D14" s="2" t="s">
        <v>50</v>
      </c>
      <c r="E14" s="2" t="s">
        <v>51</v>
      </c>
      <c r="F14" s="2" t="s">
        <v>52</v>
      </c>
      <c r="G14" s="2" t="str">
        <f>RR!N15</f>
        <v>Categoria</v>
      </c>
      <c r="H14" s="13"/>
    </row>
    <row r="15" spans="1:8" x14ac:dyDescent="0.2">
      <c r="C15" s="2" t="str">
        <f>RR!I16</f>
        <v>INQUIETUD/HIPERSENSIBILIDAD</v>
      </c>
      <c r="D15" s="14">
        <f>RR!K16</f>
        <v>14</v>
      </c>
      <c r="E15" s="14">
        <f>RR!L16</f>
        <v>71</v>
      </c>
      <c r="F15" s="14">
        <f>RR!M16</f>
        <v>99</v>
      </c>
      <c r="G15" s="14" t="str">
        <f>RR!N16</f>
        <v>CLINICAMENTE SIGNIFICATIVA</v>
      </c>
      <c r="H15" s="13"/>
    </row>
    <row r="16" spans="1:8" x14ac:dyDescent="0.2">
      <c r="C16" s="2" t="str">
        <f>RR!I17</f>
        <v>ANSIEDAD FISIOLOGICA</v>
      </c>
      <c r="D16" s="14">
        <f>RR!K17</f>
        <v>9</v>
      </c>
      <c r="E16" s="14">
        <f>RR!L17</f>
        <v>75</v>
      </c>
      <c r="F16" s="14">
        <f>RR!M17</f>
        <v>99</v>
      </c>
      <c r="G16" s="14" t="str">
        <f>RR!N17</f>
        <v>EXTREMO</v>
      </c>
      <c r="H16" s="13"/>
    </row>
    <row r="17" spans="3:8" x14ac:dyDescent="0.2">
      <c r="C17" s="2" t="str">
        <f>RR!I18</f>
        <v>PREOCUPACIONES SOCIALES/ESTRÉS</v>
      </c>
      <c r="D17" s="14">
        <f>RR!K18</f>
        <v>7</v>
      </c>
      <c r="E17" s="14">
        <f>RR!L18</f>
        <v>72</v>
      </c>
      <c r="F17" s="14">
        <f>RR!M18</f>
        <v>99</v>
      </c>
      <c r="G17" s="14" t="str">
        <f>RR!N18</f>
        <v>CLINICAMENTE SIGNIFICATIVA</v>
      </c>
      <c r="H17" s="13"/>
    </row>
    <row r="18" spans="3:8" x14ac:dyDescent="0.2">
      <c r="C18" s="2" t="str">
        <f>RR!I19</f>
        <v>-</v>
      </c>
      <c r="D18" s="14" t="str">
        <f>RR!K19</f>
        <v>-</v>
      </c>
      <c r="E18" s="14" t="str">
        <f>RR!L19</f>
        <v>-</v>
      </c>
      <c r="F18" s="14" t="str">
        <f>RR!M19</f>
        <v>-</v>
      </c>
      <c r="G18" s="14" t="str">
        <f>RR!N19</f>
        <v>-</v>
      </c>
      <c r="H18" s="13"/>
    </row>
    <row r="19" spans="3:8" x14ac:dyDescent="0.2">
      <c r="C19" s="2" t="str">
        <f>RR!I20</f>
        <v>ANSIEDAD TOTAL</v>
      </c>
      <c r="D19" s="14">
        <f>RR!K20</f>
        <v>30</v>
      </c>
      <c r="E19" s="14">
        <f>RR!L20</f>
        <v>77</v>
      </c>
      <c r="F19" s="14">
        <f>RR!M20</f>
        <v>99</v>
      </c>
      <c r="G19" s="14" t="str">
        <f>RR!N20</f>
        <v>EXTREMO</v>
      </c>
      <c r="H19" s="13"/>
    </row>
    <row r="20" spans="3:8" x14ac:dyDescent="0.2">
      <c r="C20" s="13"/>
      <c r="D20" s="13"/>
      <c r="E20" s="13"/>
      <c r="F20" s="13"/>
      <c r="G20" s="13"/>
      <c r="H20" s="13"/>
    </row>
    <row r="21" spans="3:8" x14ac:dyDescent="0.2">
      <c r="C21" s="13"/>
      <c r="D21" s="2" t="s">
        <v>50</v>
      </c>
      <c r="E21" s="2" t="s">
        <v>51</v>
      </c>
      <c r="F21" s="2" t="s">
        <v>52</v>
      </c>
      <c r="G21" s="2" t="str">
        <f>RR!N22</f>
        <v>Categoria</v>
      </c>
      <c r="H21" s="2" t="str">
        <f>RR!O22</f>
        <v>Evaluación de validez</v>
      </c>
    </row>
    <row r="22" spans="3:8" x14ac:dyDescent="0.2">
      <c r="C22" s="2" t="str">
        <f>RR!I23</f>
        <v>MENTIRA</v>
      </c>
      <c r="D22" s="14">
        <f>RR!K23</f>
        <v>6</v>
      </c>
      <c r="E22" s="14">
        <f>RR!L23</f>
        <v>65</v>
      </c>
      <c r="F22" s="14">
        <f>RR!M23</f>
        <v>93</v>
      </c>
      <c r="G22" s="14" t="str">
        <f>RR!N23</f>
        <v>CLINICAMENTE SIGNIFICATIVA</v>
      </c>
      <c r="H22" s="14" t="str">
        <f>RR!O23</f>
        <v>CUESTIONABLE</v>
      </c>
    </row>
  </sheetData>
  <sheetProtection password="92C0" sheet="1" objects="1" scenarios="1" selectLockedCells="1" selectUnlockedCells="1"/>
  <mergeCells count="1">
    <mergeCell ref="C2:H2"/>
  </mergeCells>
  <phoneticPr fontId="2" type="noConversion"/>
  <pageMargins left="0.75" right="0.75" top="1" bottom="1" header="0" footer="0"/>
  <pageSetup paperSize="9" orientation="landscape" horizontalDpi="30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2</vt:i4>
      </vt:variant>
    </vt:vector>
  </HeadingPairs>
  <TitlesOfParts>
    <vt:vector size="6" baseType="lpstr">
      <vt:lpstr>DATOS Y RESPUESTAS</vt:lpstr>
      <vt:lpstr>RESULTADOS</vt:lpstr>
      <vt:lpstr>RR</vt:lpstr>
      <vt:lpstr>REPORTE</vt:lpstr>
      <vt:lpstr>FORMA C</vt:lpstr>
      <vt:lpstr>FORMAS A-E</vt:lpstr>
    </vt:vector>
  </TitlesOfParts>
  <Company>Casa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"Christiam Gamarra Tejeda" &lt;chris_heart@hotmail.com&gt;</dc:creator>
  <cp:lastModifiedBy>Christiam</cp:lastModifiedBy>
  <cp:lastPrinted>2004-01-01T05:49:35Z</cp:lastPrinted>
  <dcterms:created xsi:type="dcterms:W3CDTF">2010-02-28T22:23:11Z</dcterms:created>
  <dcterms:modified xsi:type="dcterms:W3CDTF">2013-07-17T18:11:38Z</dcterms:modified>
</cp:coreProperties>
</file>